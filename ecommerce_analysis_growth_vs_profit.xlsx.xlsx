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excel project\eccomerce (startup growth vs proft)\"/>
    </mc:Choice>
  </mc:AlternateContent>
  <xr:revisionPtr revIDLastSave="0" documentId="13_ncr:1_{67F4DF09-0FEA-4D48-A21C-61BD1986D7B8}" xr6:coauthVersionLast="47" xr6:coauthVersionMax="47" xr10:uidLastSave="{00000000-0000-0000-0000-000000000000}"/>
  <bookViews>
    <workbookView xWindow="-120" yWindow="-120" windowWidth="19800" windowHeight="11760" firstSheet="1" activeTab="4" xr2:uid="{FB46BD2E-2121-4FA5-90B2-E7B1A2EC2466}"/>
  </bookViews>
  <sheets>
    <sheet name="Sales" sheetId="1" r:id="rId1"/>
    <sheet name="Products" sheetId="2" r:id="rId2"/>
    <sheet name="Customer_info" sheetId="3" r:id="rId3"/>
    <sheet name="metrics calculation" sheetId="4" r:id="rId4"/>
    <sheet name="Dashboard" sheetId="6" r:id="rId5"/>
  </sheet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" l="1"/>
  <c r="Z40" i="4"/>
  <c r="G4" i="4"/>
  <c r="X44" i="4"/>
  <c r="X45" i="4"/>
  <c r="X46" i="4"/>
  <c r="X47" i="4"/>
  <c r="X48" i="4"/>
  <c r="X41" i="4"/>
  <c r="X42" i="4"/>
  <c r="X43" i="4"/>
  <c r="W49" i="4"/>
  <c r="W51" i="4"/>
  <c r="X51" i="4" s="1"/>
  <c r="W57" i="4"/>
  <c r="W70" i="4"/>
  <c r="W76" i="4"/>
  <c r="W80" i="4"/>
  <c r="W88" i="4"/>
  <c r="W93" i="4"/>
  <c r="W97" i="4"/>
  <c r="W110" i="4"/>
  <c r="W112" i="4"/>
  <c r="W124" i="4"/>
  <c r="W126" i="4"/>
  <c r="W143" i="4"/>
  <c r="W154" i="4"/>
  <c r="W43" i="4"/>
  <c r="X49" i="4"/>
  <c r="X57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J2" i="1"/>
  <c r="K2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I3" i="4"/>
  <c r="A13" i="4"/>
  <c r="A5" i="4"/>
  <c r="A2" i="4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2" i="1"/>
  <c r="C3" i="1"/>
  <c r="W44" i="4"/>
  <c r="W48" i="4"/>
  <c r="W52" i="4"/>
  <c r="W56" i="4"/>
  <c r="W60" i="4"/>
  <c r="W64" i="4"/>
  <c r="W68" i="4"/>
  <c r="W72" i="4"/>
  <c r="W84" i="4"/>
  <c r="W92" i="4"/>
  <c r="W96" i="4"/>
  <c r="W100" i="4"/>
  <c r="W104" i="4"/>
  <c r="W108" i="4"/>
  <c r="W116" i="4"/>
  <c r="W120" i="4"/>
  <c r="W128" i="4"/>
  <c r="W132" i="4"/>
  <c r="W136" i="4"/>
  <c r="W140" i="4"/>
  <c r="W144" i="4"/>
  <c r="W148" i="4"/>
  <c r="W152" i="4"/>
  <c r="W47" i="4"/>
  <c r="W79" i="4"/>
  <c r="W95" i="4"/>
  <c r="W111" i="4"/>
  <c r="W123" i="4"/>
  <c r="W135" i="4"/>
  <c r="W151" i="4"/>
  <c r="W45" i="4"/>
  <c r="W53" i="4"/>
  <c r="W61" i="4"/>
  <c r="W65" i="4"/>
  <c r="W69" i="4"/>
  <c r="W73" i="4"/>
  <c r="W77" i="4"/>
  <c r="W81" i="4"/>
  <c r="W85" i="4"/>
  <c r="W89" i="4"/>
  <c r="W101" i="4"/>
  <c r="W105" i="4"/>
  <c r="W109" i="4"/>
  <c r="W113" i="4"/>
  <c r="W117" i="4"/>
  <c r="W121" i="4"/>
  <c r="W125" i="4"/>
  <c r="W129" i="4"/>
  <c r="W133" i="4"/>
  <c r="W137" i="4"/>
  <c r="W141" i="4"/>
  <c r="W145" i="4"/>
  <c r="W149" i="4"/>
  <c r="W153" i="4"/>
  <c r="W150" i="4"/>
  <c r="W59" i="4"/>
  <c r="W67" i="4"/>
  <c r="W75" i="4"/>
  <c r="W87" i="4"/>
  <c r="W99" i="4"/>
  <c r="W107" i="4"/>
  <c r="W115" i="4"/>
  <c r="W127" i="4"/>
  <c r="W139" i="4"/>
  <c r="W147" i="4"/>
  <c r="W46" i="4"/>
  <c r="W50" i="4"/>
  <c r="W54" i="4"/>
  <c r="W58" i="4"/>
  <c r="W62" i="4"/>
  <c r="W66" i="4"/>
  <c r="W74" i="4"/>
  <c r="W78" i="4"/>
  <c r="W82" i="4"/>
  <c r="W86" i="4"/>
  <c r="W90" i="4"/>
  <c r="W94" i="4"/>
  <c r="W98" i="4"/>
  <c r="W102" i="4"/>
  <c r="W106" i="4"/>
  <c r="W114" i="4"/>
  <c r="W118" i="4"/>
  <c r="W122" i="4"/>
  <c r="W130" i="4"/>
  <c r="W134" i="4"/>
  <c r="W138" i="4"/>
  <c r="W142" i="4"/>
  <c r="W146" i="4"/>
  <c r="W55" i="4"/>
  <c r="W63" i="4"/>
  <c r="W71" i="4"/>
  <c r="W83" i="4"/>
  <c r="W91" i="4"/>
  <c r="W103" i="4"/>
  <c r="W119" i="4"/>
  <c r="W131" i="4"/>
  <c r="W41" i="4"/>
  <c r="W42" i="4"/>
  <c r="W40" i="4"/>
  <c r="G8" i="4"/>
  <c r="G5" i="4"/>
  <c r="G7" i="4"/>
  <c r="G6" i="4"/>
  <c r="X63" i="4" l="1"/>
  <c r="X55" i="4"/>
  <c r="X66" i="4"/>
  <c r="X62" i="4"/>
  <c r="X58" i="4"/>
  <c r="X54" i="4"/>
  <c r="X50" i="4"/>
  <c r="X67" i="4"/>
  <c r="X59" i="4"/>
  <c r="X65" i="4"/>
  <c r="X61" i="4"/>
  <c r="X53" i="4"/>
  <c r="X68" i="4"/>
  <c r="X64" i="4"/>
  <c r="X60" i="4"/>
  <c r="X56" i="4"/>
  <c r="X52" i="4"/>
  <c r="X40" i="4"/>
  <c r="A8" i="4"/>
</calcChain>
</file>

<file path=xl/sharedStrings.xml><?xml version="1.0" encoding="utf-8"?>
<sst xmlns="http://schemas.openxmlformats.org/spreadsheetml/2006/main" count="2114" uniqueCount="872">
  <si>
    <t>OrderID</t>
  </si>
  <si>
    <t>CustomerID</t>
  </si>
  <si>
    <t>ProductID</t>
  </si>
  <si>
    <t>Quantity</t>
  </si>
  <si>
    <t>SalesAmount</t>
  </si>
  <si>
    <t>ORD0001</t>
  </si>
  <si>
    <t>CUST115</t>
  </si>
  <si>
    <t>PROD020</t>
  </si>
  <si>
    <t>ORD0002</t>
  </si>
  <si>
    <t>CUST077</t>
  </si>
  <si>
    <t>PROD032</t>
  </si>
  <si>
    <t>ORD0003</t>
  </si>
  <si>
    <t>CUST091</t>
  </si>
  <si>
    <t>PROD017</t>
  </si>
  <si>
    <t>ORD0004</t>
  </si>
  <si>
    <t>CUST097</t>
  </si>
  <si>
    <t>PROD006</t>
  </si>
  <si>
    <t>ORD0005</t>
  </si>
  <si>
    <t>CUST018</t>
  </si>
  <si>
    <t>PROD039</t>
  </si>
  <si>
    <t>ORD0006</t>
  </si>
  <si>
    <t>CUST038</t>
  </si>
  <si>
    <t>PROD007</t>
  </si>
  <si>
    <t>ORD0007</t>
  </si>
  <si>
    <t>CUST060</t>
  </si>
  <si>
    <t>PROD027</t>
  </si>
  <si>
    <t>ORD0008</t>
  </si>
  <si>
    <t>PROD024</t>
  </si>
  <si>
    <t>ORD0009</t>
  </si>
  <si>
    <t>CUST006</t>
  </si>
  <si>
    <t>ORD0010</t>
  </si>
  <si>
    <t>CUST021</t>
  </si>
  <si>
    <t>ORD0011</t>
  </si>
  <si>
    <t>CUST041</t>
  </si>
  <si>
    <t>PROD005</t>
  </si>
  <si>
    <t>ORD0012</t>
  </si>
  <si>
    <t>CUST110</t>
  </si>
  <si>
    <t>PROD028</t>
  </si>
  <si>
    <t>ORD0013</t>
  </si>
  <si>
    <t>CUST025</t>
  </si>
  <si>
    <t>PROD033</t>
  </si>
  <si>
    <t>ORD0014</t>
  </si>
  <si>
    <t>CUST053</t>
  </si>
  <si>
    <t>PROD015</t>
  </si>
  <si>
    <t>ORD0015</t>
  </si>
  <si>
    <t>CUST043</t>
  </si>
  <si>
    <t>ORD0016</t>
  </si>
  <si>
    <t>CUST049</t>
  </si>
  <si>
    <t>PROD031</t>
  </si>
  <si>
    <t>ORD0017</t>
  </si>
  <si>
    <t>CUST080</t>
  </si>
  <si>
    <t>PROD029</t>
  </si>
  <si>
    <t>ORD0018</t>
  </si>
  <si>
    <t>CUST071</t>
  </si>
  <si>
    <t>PROD040</t>
  </si>
  <si>
    <t>ORD0019</t>
  </si>
  <si>
    <t>CUST083</t>
  </si>
  <si>
    <t>ORD0020</t>
  </si>
  <si>
    <t>ORD0021</t>
  </si>
  <si>
    <t>PROD022</t>
  </si>
  <si>
    <t>ORD0022</t>
  </si>
  <si>
    <t>CUST102</t>
  </si>
  <si>
    <t>PROD019</t>
  </si>
  <si>
    <t>ORD0023</t>
  </si>
  <si>
    <t>CUST061</t>
  </si>
  <si>
    <t>ORD0024</t>
  </si>
  <si>
    <t>CUST104</t>
  </si>
  <si>
    <t>PROD013</t>
  </si>
  <si>
    <t>ORD0025</t>
  </si>
  <si>
    <t>CUST027</t>
  </si>
  <si>
    <t>ORD0026</t>
  </si>
  <si>
    <t>PROD016</t>
  </si>
  <si>
    <t>ORD0027</t>
  </si>
  <si>
    <t>CUST001</t>
  </si>
  <si>
    <t>ORD0028</t>
  </si>
  <si>
    <t>CUST056</t>
  </si>
  <si>
    <t>ORD0029</t>
  </si>
  <si>
    <t>CUST034</t>
  </si>
  <si>
    <t>ORD0030</t>
  </si>
  <si>
    <t>CUST098</t>
  </si>
  <si>
    <t>PROD010</t>
  </si>
  <si>
    <t>ORD0031</t>
  </si>
  <si>
    <t>CUST082</t>
  </si>
  <si>
    <t>ORD0032</t>
  </si>
  <si>
    <t>CUST089</t>
  </si>
  <si>
    <t>ORD0033</t>
  </si>
  <si>
    <t>CUST031</t>
  </si>
  <si>
    <t>ORD0034</t>
  </si>
  <si>
    <t>CUST002</t>
  </si>
  <si>
    <t>ORD0035</t>
  </si>
  <si>
    <t>CUST092</t>
  </si>
  <si>
    <t>ORD0036</t>
  </si>
  <si>
    <t>CUST073</t>
  </si>
  <si>
    <t>ORD0037</t>
  </si>
  <si>
    <t>CUST099</t>
  </si>
  <si>
    <t>ORD0038</t>
  </si>
  <si>
    <t>CUST014</t>
  </si>
  <si>
    <t>PROD014</t>
  </si>
  <si>
    <t>ORD0039</t>
  </si>
  <si>
    <t>ORD0040</t>
  </si>
  <si>
    <t>CUST081</t>
  </si>
  <si>
    <t>ORD0041</t>
  </si>
  <si>
    <t>PROD026</t>
  </si>
  <si>
    <t>ORD0042</t>
  </si>
  <si>
    <t>CUST100</t>
  </si>
  <si>
    <t>ORD0043</t>
  </si>
  <si>
    <t>CUST086</t>
  </si>
  <si>
    <t>PROD036</t>
  </si>
  <si>
    <t>ORD0044</t>
  </si>
  <si>
    <t>ORD0045</t>
  </si>
  <si>
    <t>CUST059</t>
  </si>
  <si>
    <t>ORD0046</t>
  </si>
  <si>
    <t>CUST050</t>
  </si>
  <si>
    <t>PROD018</t>
  </si>
  <si>
    <t>ORD0047</t>
  </si>
  <si>
    <t>CUST116</t>
  </si>
  <si>
    <t>ORD0048</t>
  </si>
  <si>
    <t>ORD0049</t>
  </si>
  <si>
    <t>ORD0050</t>
  </si>
  <si>
    <t>CUST096</t>
  </si>
  <si>
    <t>ORD0051</t>
  </si>
  <si>
    <t>PROD035</t>
  </si>
  <si>
    <t>ORD0052</t>
  </si>
  <si>
    <t>PROD012</t>
  </si>
  <si>
    <t>ORD0053</t>
  </si>
  <si>
    <t>CUST042</t>
  </si>
  <si>
    <t>ORD0054</t>
  </si>
  <si>
    <t>CUST085</t>
  </si>
  <si>
    <t>PROD030</t>
  </si>
  <si>
    <t>ORD0055</t>
  </si>
  <si>
    <t>CUST084</t>
  </si>
  <si>
    <t>PROD003</t>
  </si>
  <si>
    <t>ORD0056</t>
  </si>
  <si>
    <t>ORD0057</t>
  </si>
  <si>
    <t>CUST005</t>
  </si>
  <si>
    <t>PROD001</t>
  </si>
  <si>
    <t>ORD0058</t>
  </si>
  <si>
    <t>ORD0059</t>
  </si>
  <si>
    <t>CUST030</t>
  </si>
  <si>
    <t>ORD0060</t>
  </si>
  <si>
    <t>CUST101</t>
  </si>
  <si>
    <t>ORD0061</t>
  </si>
  <si>
    <t>CUST075</t>
  </si>
  <si>
    <t>ORD0062</t>
  </si>
  <si>
    <t>CUST066</t>
  </si>
  <si>
    <t>PROD008</t>
  </si>
  <si>
    <t>ORD0063</t>
  </si>
  <si>
    <t>PROD011</t>
  </si>
  <si>
    <t>ORD0064</t>
  </si>
  <si>
    <t>CUST012</t>
  </si>
  <si>
    <t>ORD0065</t>
  </si>
  <si>
    <t>PROD038</t>
  </si>
  <si>
    <t>ORD0066</t>
  </si>
  <si>
    <t>ORD0067</t>
  </si>
  <si>
    <t>ORD0068</t>
  </si>
  <si>
    <t>ORD0069</t>
  </si>
  <si>
    <t>ORD0070</t>
  </si>
  <si>
    <t>ORD0071</t>
  </si>
  <si>
    <t>CUST079</t>
  </si>
  <si>
    <t>PROD037</t>
  </si>
  <si>
    <t>ORD0072</t>
  </si>
  <si>
    <t>ORD0073</t>
  </si>
  <si>
    <t>ORD0074</t>
  </si>
  <si>
    <t>ORD0075</t>
  </si>
  <si>
    <t>PROD002</t>
  </si>
  <si>
    <t>ORD0076</t>
  </si>
  <si>
    <t>CUST113</t>
  </si>
  <si>
    <t>ORD0077</t>
  </si>
  <si>
    <t>ORD0078</t>
  </si>
  <si>
    <t>CUST003</t>
  </si>
  <si>
    <t>ORD0079</t>
  </si>
  <si>
    <t>CUST111</t>
  </si>
  <si>
    <t>ORD0080</t>
  </si>
  <si>
    <t>CUST062</t>
  </si>
  <si>
    <t>ORD0081</t>
  </si>
  <si>
    <t>CUST035</t>
  </si>
  <si>
    <t>ORD0082</t>
  </si>
  <si>
    <t>PROD009</t>
  </si>
  <si>
    <t>ORD0083</t>
  </si>
  <si>
    <t>CUST107</t>
  </si>
  <si>
    <t>ORD0084</t>
  </si>
  <si>
    <t>CUST088</t>
  </si>
  <si>
    <t>ORD0085</t>
  </si>
  <si>
    <t>ORD0086</t>
  </si>
  <si>
    <t>CUST087</t>
  </si>
  <si>
    <t>ORD0087</t>
  </si>
  <si>
    <t>ORD0088</t>
  </si>
  <si>
    <t>CUST094</t>
  </si>
  <si>
    <t>ORD0089</t>
  </si>
  <si>
    <t>ORD0090</t>
  </si>
  <si>
    <t>ORD0091</t>
  </si>
  <si>
    <t>ORD0092</t>
  </si>
  <si>
    <t>ORD0093</t>
  </si>
  <si>
    <t>ORD0094</t>
  </si>
  <si>
    <t>CUST032</t>
  </si>
  <si>
    <t>PROD023</t>
  </si>
  <si>
    <t>ORD0095</t>
  </si>
  <si>
    <t>CUST069</t>
  </si>
  <si>
    <t>ORD0096</t>
  </si>
  <si>
    <t>ORD0097</t>
  </si>
  <si>
    <t>ORD0098</t>
  </si>
  <si>
    <t>CUST048</t>
  </si>
  <si>
    <t>ORD0099</t>
  </si>
  <si>
    <t>ORD0100</t>
  </si>
  <si>
    <t>ORD0101</t>
  </si>
  <si>
    <t>CUST010</t>
  </si>
  <si>
    <t>ORD0102</t>
  </si>
  <si>
    <t>ORD0103</t>
  </si>
  <si>
    <t>CUST063</t>
  </si>
  <si>
    <t>ORD0104</t>
  </si>
  <si>
    <t>CUST036</t>
  </si>
  <si>
    <t>ORD0105</t>
  </si>
  <si>
    <t>ORD0106</t>
  </si>
  <si>
    <t>CUST046</t>
  </si>
  <si>
    <t>ORD0107</t>
  </si>
  <si>
    <t>ORD0108</t>
  </si>
  <si>
    <t>ORD0109</t>
  </si>
  <si>
    <t>CUST064</t>
  </si>
  <si>
    <t>ORD0110</t>
  </si>
  <si>
    <t>ORD0111</t>
  </si>
  <si>
    <t>ORD0112</t>
  </si>
  <si>
    <t>CUST106</t>
  </si>
  <si>
    <t>ORD0113</t>
  </si>
  <si>
    <t>ORD0114</t>
  </si>
  <si>
    <t>PROD021</t>
  </si>
  <si>
    <t>ORD0115</t>
  </si>
  <si>
    <t>ORD0116</t>
  </si>
  <si>
    <t>ORD0117</t>
  </si>
  <si>
    <t>CUST009</t>
  </si>
  <si>
    <t>ORD0118</t>
  </si>
  <si>
    <t>PROD034</t>
  </si>
  <si>
    <t>ORD0119</t>
  </si>
  <si>
    <t>CUST119</t>
  </si>
  <si>
    <t>ORD0120</t>
  </si>
  <si>
    <t>CUST047</t>
  </si>
  <si>
    <t>ORD0121</t>
  </si>
  <si>
    <t>ORD0122</t>
  </si>
  <si>
    <t>CUST105</t>
  </si>
  <si>
    <t>ORD0123</t>
  </si>
  <si>
    <t>ORD0124</t>
  </si>
  <si>
    <t>CUST015</t>
  </si>
  <si>
    <t>ORD0125</t>
  </si>
  <si>
    <t>CUST029</t>
  </si>
  <si>
    <t>ORD0126</t>
  </si>
  <si>
    <t>CUST008</t>
  </si>
  <si>
    <t>ORD0127</t>
  </si>
  <si>
    <t>CUST114</t>
  </si>
  <si>
    <t>ORD0128</t>
  </si>
  <si>
    <t>CUST026</t>
  </si>
  <si>
    <t>ORD0129</t>
  </si>
  <si>
    <t>ORD0130</t>
  </si>
  <si>
    <t>ORD0131</t>
  </si>
  <si>
    <t>ORD0132</t>
  </si>
  <si>
    <t>ORD0133</t>
  </si>
  <si>
    <t>CUST058</t>
  </si>
  <si>
    <t>ORD0134</t>
  </si>
  <si>
    <t>ORD0135</t>
  </si>
  <si>
    <t>CUST045</t>
  </si>
  <si>
    <t>ORD0136</t>
  </si>
  <si>
    <t>PROD025</t>
  </si>
  <si>
    <t>ORD0137</t>
  </si>
  <si>
    <t>ORD0138</t>
  </si>
  <si>
    <t>ORD0139</t>
  </si>
  <si>
    <t>CUST067</t>
  </si>
  <si>
    <t>ORD0140</t>
  </si>
  <si>
    <t>ORD0141</t>
  </si>
  <si>
    <t>ORD0142</t>
  </si>
  <si>
    <t>ORD0143</t>
  </si>
  <si>
    <t>CUST020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</si>
  <si>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</si>
  <si>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</si>
  <si>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</si>
  <si>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</si>
  <si>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</si>
  <si>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</si>
  <si>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</si>
  <si>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</si>
  <si>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CUST076</t>
  </si>
  <si>
    <t>ORD0152</t>
  </si>
  <si>
    <t>CUST011</t>
  </si>
  <si>
    <t>ORD0153</t>
  </si>
  <si>
    <t>ORD0154</t>
  </si>
  <si>
    <t>CUST019</t>
  </si>
  <si>
    <t>ORD0155</t>
  </si>
  <si>
    <t>ORD0156</t>
  </si>
  <si>
    <t>ORD0157</t>
  </si>
  <si>
    <t>ORD0158</t>
  </si>
  <si>
    <t>ORD0159</t>
  </si>
  <si>
    <t>CUST072</t>
  </si>
  <si>
    <t>ORD0160</t>
  </si>
  <si>
    <t>ORD0161</t>
  </si>
  <si>
    <t>ORD0162</t>
  </si>
  <si>
    <t>ORD0163</t>
  </si>
  <si>
    <t>ORD0164</t>
  </si>
  <si>
    <t>CUST016</t>
  </si>
  <si>
    <t>ORD0165</t>
  </si>
  <si>
    <t>CUST112</t>
  </si>
  <si>
    <t>ORD0166</t>
  </si>
  <si>
    <t>CUST120</t>
  </si>
  <si>
    <t>ORD0167</t>
  </si>
  <si>
    <t>ORD0168</t>
  </si>
  <si>
    <t>CUST103</t>
  </si>
  <si>
    <t>ORD0169</t>
  </si>
  <si>
    <t>PROD004</t>
  </si>
  <si>
    <t>ORD0170</t>
  </si>
  <si>
    <t>ORD0171</t>
  </si>
  <si>
    <t>CUST074</t>
  </si>
  <si>
    <t>ORD0172</t>
  </si>
  <si>
    <t>ORD0173</t>
  </si>
  <si>
    <t>CUST023</t>
  </si>
  <si>
    <t>ORD0174</t>
  </si>
  <si>
    <t>CUST051</t>
  </si>
  <si>
    <t>ORD0175</t>
  </si>
  <si>
    <t>ORD0176</t>
  </si>
  <si>
    <t>CUST093</t>
  </si>
  <si>
    <t>ORD0177</t>
  </si>
  <si>
    <t>ORD0178</t>
  </si>
  <si>
    <t>CUST118</t>
  </si>
  <si>
    <t>ORD0179</t>
  </si>
  <si>
    <t>ORD0180</t>
  </si>
  <si>
    <t>ORD0181</t>
  </si>
  <si>
    <t>ORD0182</t>
  </si>
  <si>
    <t>CUST022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</si>
  <si>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</si>
  <si>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</si>
  <si>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</si>
  <si>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</si>
  <si>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</si>
  <si>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</si>
  <si>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</si>
  <si>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</si>
  <si>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</si>
  <si>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</si>
  <si>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CUST068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</si>
  <si>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</si>
  <si>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</si>
  <si>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</si>
  <si>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</si>
  <si>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</si>
  <si>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</si>
  <si>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</si>
  <si>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</si>
  <si>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</si>
  <si>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</si>
  <si>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</si>
  <si>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CUST024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</si>
  <si>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</si>
  <si>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</si>
  <si>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</si>
  <si>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</si>
  <si>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</si>
  <si>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</si>
  <si>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</si>
  <si>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</si>
  <si>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</si>
  <si>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</si>
  <si>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</si>
  <si>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CUST040</t>
  </si>
  <si>
    <t>ORD0215</t>
  </si>
  <si>
    <t>ORD0216</t>
  </si>
  <si>
    <t>ORD0217</t>
  </si>
  <si>
    <t>ORD0218</t>
  </si>
  <si>
    <t>CUST078</t>
  </si>
  <si>
    <t>ORD0219</t>
  </si>
  <si>
    <t>ORD0220</t>
  </si>
  <si>
    <t>ORD0221</t>
  </si>
  <si>
    <t>CUST044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</si>
  <si>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</si>
  <si>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</si>
  <si>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</si>
  <si>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</si>
  <si>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</si>
  <si>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</si>
  <si>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</si>
  <si>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</si>
  <si>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</si>
  <si>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CUST039</t>
  </si>
  <si>
    <t>ORD0231</t>
  </si>
  <si>
    <t>ORD0232</t>
  </si>
  <si>
    <t>ORD0233</t>
  </si>
  <si>
    <t>ORD0234</t>
  </si>
  <si>
    <t>ORD0235</t>
  </si>
  <si>
    <t>ORD0236</t>
  </si>
  <si>
    <t>CUST070</t>
  </si>
  <si>
    <t>ORD0237</t>
  </si>
  <si>
    <t>ORD0238</t>
  </si>
  <si>
    <t>ORD0239</t>
  </si>
  <si>
    <t>CUST109</t>
  </si>
  <si>
    <t>ORD0240</t>
  </si>
  <si>
    <t>ORD0241</t>
  </si>
  <si>
    <t>CUST117</t>
  </si>
  <si>
    <t>ORD0242</t>
  </si>
  <si>
    <t>ORD0243</t>
  </si>
  <si>
    <t>ORD0244</t>
  </si>
  <si>
    <t>ORD0245</t>
  </si>
  <si>
    <t>CUST095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</si>
  <si>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</si>
  <si>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</si>
  <si>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</si>
  <si>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</si>
  <si>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</si>
  <si>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</si>
  <si>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</si>
  <si>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</si>
  <si>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</si>
  <si>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</si>
  <si>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</si>
  <si>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</si>
  <si>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</si>
  <si>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CUST004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</si>
  <si>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</si>
  <si>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</si>
  <si>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</si>
  <si>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</si>
  <si>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</si>
  <si>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</si>
  <si>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</si>
  <si>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</si>
  <si>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</si>
  <si>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</si>
  <si>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</si>
  <si>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CUST033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</si>
  <si>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</si>
  <si>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</si>
  <si>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</si>
  <si>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</si>
  <si>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</si>
  <si>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</si>
  <si>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</si>
  <si>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</si>
  <si>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CUST054</t>
  </si>
  <si>
    <t>ORD0278</t>
  </si>
  <si>
    <t>ORD0279</t>
  </si>
  <si>
    <t>ORD0280</t>
  </si>
  <si>
    <t>ORD0281</t>
  </si>
  <si>
    <t>CUST108</t>
  </si>
  <si>
    <t>ORD0282</t>
  </si>
  <si>
    <t>ORD0283</t>
  </si>
  <si>
    <t>CUST055</t>
  </si>
  <si>
    <t>ORD0284</t>
  </si>
  <si>
    <t>ORD0285</t>
  </si>
  <si>
    <t>CUST017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</si>
  <si>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</si>
  <si>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</si>
  <si>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</si>
  <si>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</si>
  <si>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</si>
  <si>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</si>
  <si>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</si>
  <si>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</si>
  <si>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CUST090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</si>
  <si>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</si>
  <si>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</si>
  <si>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</si>
  <si>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</si>
  <si>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</si>
  <si>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</si>
  <si>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</si>
  <si>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</si>
  <si>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</si>
  <si>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</si>
  <si>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</si>
  <si>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</si>
  <si>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</si>
  <si>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</si>
  <si>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</si>
  <si>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CUST013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</si>
  <si>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</si>
  <si>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</si>
  <si>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</si>
  <si>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</si>
  <si>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</si>
  <si>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</si>
  <si>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</si>
  <si>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</si>
  <si>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</si>
  <si>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</si>
  <si>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</si>
  <si>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</si>
  <si>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</si>
  <si>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</si>
  <si>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</si>
  <si>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</si>
  <si>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</si>
  <si>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</si>
  <si>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</si>
  <si>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</si>
  <si>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</si>
  <si>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</si>
  <si>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</si>
  <si>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</si>
  <si>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</si>
  <si>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</si>
  <si>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</si>
  <si>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</si>
  <si>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</si>
  <si>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</si>
  <si>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</si>
  <si>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</si>
  <si>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</si>
  <si>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</si>
  <si>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</si>
  <si>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</si>
  <si>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</si>
  <si>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</si>
  <si>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</si>
  <si>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</si>
  <si>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</si>
  <si>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</si>
  <si>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</si>
  <si>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</si>
  <si>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</si>
  <si>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</si>
  <si>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CUST052</t>
  </si>
  <si>
    <t>ORD0355</t>
  </si>
  <si>
    <t>ORD0356</t>
  </si>
  <si>
    <t>ORD0357</t>
  </si>
  <si>
    <t>ORD0358</t>
  </si>
  <si>
    <t>ORD0359</t>
  </si>
  <si>
    <t>ORD0360</t>
  </si>
  <si>
    <t>ProductName</t>
  </si>
  <si>
    <t>Category</t>
  </si>
  <si>
    <t>UnitPrice</t>
  </si>
  <si>
    <t>Product_1</t>
  </si>
  <si>
    <t>Electronics</t>
  </si>
  <si>
    <t>Product_2</t>
  </si>
  <si>
    <t>Product_3</t>
  </si>
  <si>
    <t>Home</t>
  </si>
  <si>
    <t>Product_4</t>
  </si>
  <si>
    <t>Clothing</t>
  </si>
  <si>
    <t>Product_5</t>
  </si>
  <si>
    <t>Sports</t>
  </si>
  <si>
    <t>Product_6</t>
  </si>
  <si>
    <t>Product_7</t>
  </si>
  <si>
    <t>Beauty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</si>
  <si>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</si>
  <si>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</si>
  <si>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</si>
  <si>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</si>
  <si>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</si>
  <si>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</si>
  <si>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</si>
  <si>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</si>
  <si>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</si>
  <si>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</si>
  <si>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</si>
  <si>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</si>
  <si>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</si>
  <si>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</si>
  <si>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</si>
  <si>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</si>
  <si>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</si>
  <si>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</si>
  <si>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</si>
  <si>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</si>
  <si>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</si>
  <si>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</si>
  <si>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</si>
  <si>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</si>
  <si>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</si>
  <si>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</si>
  <si>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</si>
  <si>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</si>
  <si>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</si>
  <si>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</si>
  <si>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</si>
  <si>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</si>
  <si>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</si>
  <si>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CustomerName</t>
  </si>
  <si>
    <t>Email</t>
  </si>
  <si>
    <t>Country</t>
  </si>
  <si>
    <t>SignupDate</t>
  </si>
  <si>
    <t>Customer_1</t>
  </si>
  <si>
    <t>customer1@email.com</t>
  </si>
  <si>
    <t>India</t>
  </si>
  <si>
    <t>Customer_2</t>
  </si>
  <si>
    <t>customer2@email.com</t>
  </si>
  <si>
    <t>UK</t>
  </si>
  <si>
    <t>Customer_3</t>
  </si>
  <si>
    <t>customer3@email.com</t>
  </si>
  <si>
    <t>United Kingdom</t>
  </si>
  <si>
    <t>Customer_4</t>
  </si>
  <si>
    <t>customer4@email.com</t>
  </si>
  <si>
    <t>Customer_5</t>
  </si>
  <si>
    <t>customer5@email.com</t>
  </si>
  <si>
    <t>Customer_6</t>
  </si>
  <si>
    <t>customer6@email.com</t>
  </si>
  <si>
    <t>CUST007</t>
  </si>
  <si>
    <t>Customer_7</t>
  </si>
  <si>
    <t>customer7@email.com</t>
  </si>
  <si>
    <t>United States</t>
  </si>
  <si>
    <t>Customer_8</t>
  </si>
  <si>
    <t>customer8@email.com</t>
  </si>
  <si>
    <t>Customer_9</t>
  </si>
  <si>
    <t>customer9@email.com</t>
  </si>
  <si>
    <t>Customer_10</t>
  </si>
  <si>
    <t>customer10@email.com</t>
  </si>
  <si>
    <t>Canada</t>
  </si>
  <si>
    <t>Customer_11</t>
  </si>
  <si>
    <t>customer11@email.com</t>
  </si>
  <si>
    <t>Customer_12</t>
  </si>
  <si>
    <t>customer12@email.com</t>
  </si>
  <si>
    <t>Customer_13</t>
  </si>
  <si>
    <t>customer13@email.com</t>
  </si>
  <si>
    <t>Customer_14</t>
  </si>
  <si>
    <t>customer14@email.com</t>
  </si>
  <si>
    <t>Customer_15</t>
  </si>
  <si>
    <t>customer15@email.com</t>
  </si>
  <si>
    <t>Customer_16</t>
  </si>
  <si>
    <t>customer16@email.com</t>
  </si>
  <si>
    <t>US</t>
  </si>
  <si>
    <t>Customer_17</t>
  </si>
  <si>
    <t>customer17@email.com</t>
  </si>
  <si>
    <t>Customer_18</t>
  </si>
  <si>
    <t>customer18@email.com</t>
  </si>
  <si>
    <t>Customer_19</t>
  </si>
  <si>
    <t>customer19@email.com</t>
  </si>
  <si>
    <t>Customer_20</t>
  </si>
  <si>
    <t>customer20@email.com</t>
  </si>
  <si>
    <t>Customer_21</t>
  </si>
  <si>
    <t>customer21@email.com</t>
  </si>
  <si>
    <t>Customer_22</t>
  </si>
  <si>
    <t>customer22@email.com</t>
  </si>
  <si>
    <t>Customer_23</t>
  </si>
  <si>
    <t>customer23@email.com</t>
  </si>
  <si>
    <t>Customer_24</t>
  </si>
  <si>
    <t>customer24@email.com</t>
  </si>
  <si>
    <t>Customer_25</t>
  </si>
  <si>
    <t>customer25@email.com</t>
  </si>
  <si>
    <t>Customer_26</t>
  </si>
  <si>
    <t>customer26@email.com</t>
  </si>
  <si>
    <t>Customer_27</t>
  </si>
  <si>
    <t>customer27@email.com</t>
  </si>
  <si>
    <t>CUST028</t>
  </si>
  <si>
    <t>Customer_28</t>
  </si>
  <si>
    <t>customer28@email.com</t>
  </si>
  <si>
    <t>Customer_29</t>
  </si>
  <si>
    <t>customer29@email.com</t>
  </si>
  <si>
    <t>Customer_30</t>
  </si>
  <si>
    <t>customer30@email.com</t>
  </si>
  <si>
    <t>Customer_31</t>
  </si>
  <si>
    <t>customer31@email.com</t>
  </si>
  <si>
    <t>Customer_32</t>
  </si>
  <si>
    <t>customer32@email.com</t>
  </si>
  <si>
    <t>Customer_33</t>
  </si>
  <si>
    <t>customer33@email.com</t>
  </si>
  <si>
    <t>Customer_34</t>
  </si>
  <si>
    <t>customer34@email.com</t>
  </si>
  <si>
    <t>Customer_35</t>
  </si>
  <si>
    <t>customer35@email.com</t>
  </si>
  <si>
    <t>Customer_36</t>
  </si>
  <si>
    <t>customer36@email.com</t>
  </si>
  <si>
    <t>CUST037</t>
  </si>
  <si>
    <t>Customer_37</t>
  </si>
  <si>
    <t>customer37@email.com</t>
  </si>
  <si>
    <t>Customer_38</t>
  </si>
  <si>
    <t>customer38@email.com</t>
  </si>
  <si>
    <t>Customer_39</t>
  </si>
  <si>
    <t>customer39@email.com</t>
  </si>
  <si>
    <t>Customer_40</t>
  </si>
  <si>
    <t>customer40@email.com</t>
  </si>
  <si>
    <t>Customer_41</t>
  </si>
  <si>
    <t>customer41@email.com</t>
  </si>
  <si>
    <t>Customer_42</t>
  </si>
  <si>
    <t>customer42@email.com</t>
  </si>
  <si>
    <t>Customer_43</t>
  </si>
  <si>
    <t>customer43@email.com</t>
  </si>
  <si>
    <t>Customer_44</t>
  </si>
  <si>
    <t>customer44@email.com</t>
  </si>
  <si>
    <t>Customer_45</t>
  </si>
  <si>
    <t>customer45@email.com</t>
  </si>
  <si>
    <t>Customer_46</t>
  </si>
  <si>
    <t>customer46@email.com</t>
  </si>
  <si>
    <t>Customer_47</t>
  </si>
  <si>
    <t>customer47@email.com</t>
  </si>
  <si>
    <t>Customer_48</t>
  </si>
  <si>
    <t>customer48@email.com</t>
  </si>
  <si>
    <t>Customer_49</t>
  </si>
  <si>
    <t>customer49@email.com</t>
  </si>
  <si>
    <t>Customer_50</t>
  </si>
  <si>
    <t>customer50@email.com</t>
  </si>
  <si>
    <t>Customer_51</t>
  </si>
  <si>
    <t>customer51@email.com</t>
  </si>
  <si>
    <t>Customer_52</t>
  </si>
  <si>
    <t>customer52@email.com</t>
  </si>
  <si>
    <t>Customer_53</t>
  </si>
  <si>
    <t>customer53@email.com</t>
  </si>
  <si>
    <t>Customer_54</t>
  </si>
  <si>
    <t>customer54@email.com</t>
  </si>
  <si>
    <t>Customer_55</t>
  </si>
  <si>
    <t>customer55@email.com</t>
  </si>
  <si>
    <t>Customer_56</t>
  </si>
  <si>
    <t>customer56@email.com</t>
  </si>
  <si>
    <t>CUST057</t>
  </si>
  <si>
    <t>Customer_57</t>
  </si>
  <si>
    <t>customer57@email.com</t>
  </si>
  <si>
    <t>Customer_58</t>
  </si>
  <si>
    <t>customer58@email.com</t>
  </si>
  <si>
    <t>Customer_59</t>
  </si>
  <si>
    <t>customer59@email.com</t>
  </si>
  <si>
    <t>Customer_60</t>
  </si>
  <si>
    <t>customer60@email.com</t>
  </si>
  <si>
    <t>Customer_61</t>
  </si>
  <si>
    <t>customer61@email.com</t>
  </si>
  <si>
    <t>Customer_62</t>
  </si>
  <si>
    <t>customer62@email.com</t>
  </si>
  <si>
    <t>Customer_63</t>
  </si>
  <si>
    <t>customer63@email.com</t>
  </si>
  <si>
    <t>Customer_64</t>
  </si>
  <si>
    <t>customer64@email.com</t>
  </si>
  <si>
    <t>CUST065</t>
  </si>
  <si>
    <t>Customer_65</t>
  </si>
  <si>
    <t>customer65@email.com</t>
  </si>
  <si>
    <t>Customer_66</t>
  </si>
  <si>
    <t>customer66@email.com</t>
  </si>
  <si>
    <t>Customer_67</t>
  </si>
  <si>
    <t>customer67@email.com</t>
  </si>
  <si>
    <t>Customer_68</t>
  </si>
  <si>
    <t>customer68@email.com</t>
  </si>
  <si>
    <t>Customer_69</t>
  </si>
  <si>
    <t>customer69@email.com</t>
  </si>
  <si>
    <t>Customer_70</t>
  </si>
  <si>
    <t>customer70@email.com</t>
  </si>
  <si>
    <t>Customer_71</t>
  </si>
  <si>
    <t>customer71@email.com</t>
  </si>
  <si>
    <t>Customer_72</t>
  </si>
  <si>
    <t>customer72@email.com</t>
  </si>
  <si>
    <t>Customer_73</t>
  </si>
  <si>
    <t>customer73@email.com</t>
  </si>
  <si>
    <t>Customer_74</t>
  </si>
  <si>
    <t>customer74@email.com</t>
  </si>
  <si>
    <t>Customer_75</t>
  </si>
  <si>
    <t>customer75@email.com</t>
  </si>
  <si>
    <t>Customer_76</t>
  </si>
  <si>
    <t>customer76@email.com</t>
  </si>
  <si>
    <t>Customer_77</t>
  </si>
  <si>
    <t>customer77@email.com</t>
  </si>
  <si>
    <t>Customer_78</t>
  </si>
  <si>
    <t>customer78@email.com</t>
  </si>
  <si>
    <t>Customer_79</t>
  </si>
  <si>
    <t>customer79@email.com</t>
  </si>
  <si>
    <t>Customer_80</t>
  </si>
  <si>
    <t>customer80@email.com</t>
  </si>
  <si>
    <t>Customer_81</t>
  </si>
  <si>
    <t>customer81@email.com</t>
  </si>
  <si>
    <t>Customer_82</t>
  </si>
  <si>
    <t>customer82@email.com</t>
  </si>
  <si>
    <t>Customer_83</t>
  </si>
  <si>
    <t>customer83@email.com</t>
  </si>
  <si>
    <t>Customer_84</t>
  </si>
  <si>
    <t>customer84@email.com</t>
  </si>
  <si>
    <t>Customer_85</t>
  </si>
  <si>
    <t>customer85@email.com</t>
  </si>
  <si>
    <t>Customer_86</t>
  </si>
  <si>
    <t>customer86@email.com</t>
  </si>
  <si>
    <t>Customer_87</t>
  </si>
  <si>
    <t>customer87@email.com</t>
  </si>
  <si>
    <t>Customer_88</t>
  </si>
  <si>
    <t>customer88@email.com</t>
  </si>
  <si>
    <t>Customer_89</t>
  </si>
  <si>
    <t>customer89@email.com</t>
  </si>
  <si>
    <t>Customer_90</t>
  </si>
  <si>
    <t>customer90@email.com</t>
  </si>
  <si>
    <t>Customer_91</t>
  </si>
  <si>
    <t>customer91@email.com</t>
  </si>
  <si>
    <t>Customer_92</t>
  </si>
  <si>
    <t>customer92@email.com</t>
  </si>
  <si>
    <t>Customer_93</t>
  </si>
  <si>
    <t>customer93@email.com</t>
  </si>
  <si>
    <t>Customer_94</t>
  </si>
  <si>
    <t>customer94@email.com</t>
  </si>
  <si>
    <t>Customer_95</t>
  </si>
  <si>
    <t>customer95@email.com</t>
  </si>
  <si>
    <t>Customer_96</t>
  </si>
  <si>
    <t>customer96@email.com</t>
  </si>
  <si>
    <t>Customer_97</t>
  </si>
  <si>
    <t>customer97@email.com</t>
  </si>
  <si>
    <t>Customer_98</t>
  </si>
  <si>
    <t>customer98@email.com</t>
  </si>
  <si>
    <t>Customer_99</t>
  </si>
  <si>
    <t>customer99@email.com</t>
  </si>
  <si>
    <t>Customer_100</t>
  </si>
  <si>
    <t>customer100@email.com</t>
  </si>
  <si>
    <t>Customer_101</t>
  </si>
  <si>
    <t>customer101@email.com</t>
  </si>
  <si>
    <t>Customer_102</t>
  </si>
  <si>
    <t>customer102@email.com</t>
  </si>
  <si>
    <t>Customer_103</t>
  </si>
  <si>
    <t>customer103@email.com</t>
  </si>
  <si>
    <t>Customer_104</t>
  </si>
  <si>
    <t>customer104@email.com</t>
  </si>
  <si>
    <t>Customer_105</t>
  </si>
  <si>
    <t>customer105@email.com</t>
  </si>
  <si>
    <t>Customer_106</t>
  </si>
  <si>
    <t>customer106@email.com</t>
  </si>
  <si>
    <t>Customer_107</t>
  </si>
  <si>
    <t>customer107@email.com</t>
  </si>
  <si>
    <t>Customer_108</t>
  </si>
  <si>
    <t>customer108@email.com</t>
  </si>
  <si>
    <t>Customer_109</t>
  </si>
  <si>
    <t>customer109@email.com</t>
  </si>
  <si>
    <t>Customer_110</t>
  </si>
  <si>
    <t>customer110@email.com</t>
  </si>
  <si>
    <t>Customer_111</t>
  </si>
  <si>
    <t>customer111@email.com</t>
  </si>
  <si>
    <t>Customer_112</t>
  </si>
  <si>
    <t>customer112@email.com</t>
  </si>
  <si>
    <t>Customer_113</t>
  </si>
  <si>
    <t>customer113@email.com</t>
  </si>
  <si>
    <t>Customer_114</t>
  </si>
  <si>
    <t>customer114@email.com</t>
  </si>
  <si>
    <t>Customer_115</t>
  </si>
  <si>
    <t>customer115@email.com</t>
  </si>
  <si>
    <t>Customer_116</t>
  </si>
  <si>
    <t>customer116@email.com</t>
  </si>
  <si>
    <t>Customer_117</t>
  </si>
  <si>
    <t>customer117@email.com</t>
  </si>
  <si>
    <t>Customer_118</t>
  </si>
  <si>
    <t>customer118@email.com</t>
  </si>
  <si>
    <t>Customer_119</t>
  </si>
  <si>
    <t>customer119@email.com</t>
  </si>
  <si>
    <t>Customer_120</t>
  </si>
  <si>
    <t>customer120@email.com</t>
  </si>
  <si>
    <t>`</t>
  </si>
  <si>
    <t>Order date</t>
  </si>
  <si>
    <t>Order Month</t>
  </si>
  <si>
    <t xml:space="preserve">total revenue </t>
  </si>
  <si>
    <t>number of orders</t>
  </si>
  <si>
    <t>AOV</t>
  </si>
  <si>
    <t>monthly revenue</t>
  </si>
  <si>
    <t>Grand Total</t>
  </si>
  <si>
    <t>Row Labels</t>
  </si>
  <si>
    <t>Jan</t>
  </si>
  <si>
    <t>Feb</t>
  </si>
  <si>
    <t>Mar</t>
  </si>
  <si>
    <t>Apr</t>
  </si>
  <si>
    <t>May</t>
  </si>
  <si>
    <t>Jun</t>
  </si>
  <si>
    <t>Sum of SalesAmount</t>
  </si>
  <si>
    <t>revenue growth rate</t>
  </si>
  <si>
    <t>repeat purchase rate</t>
  </si>
  <si>
    <t>total customers</t>
  </si>
  <si>
    <t>Count of OrderID</t>
  </si>
  <si>
    <t xml:space="preserve">customers with &gt;1 order = 99 </t>
  </si>
  <si>
    <t>repeat customers</t>
  </si>
  <si>
    <t xml:space="preserve">revenue by category </t>
  </si>
  <si>
    <t>Column1</t>
  </si>
  <si>
    <t>revenue by country</t>
  </si>
  <si>
    <t>SIGNUPDATE</t>
  </si>
  <si>
    <t>SIGNUPMONTH</t>
  </si>
  <si>
    <t>new customers per month</t>
  </si>
  <si>
    <t>Count of CustomerID</t>
  </si>
  <si>
    <t>Oct, 23</t>
  </si>
  <si>
    <t>Feb, 23</t>
  </si>
  <si>
    <t>Jan, 23</t>
  </si>
  <si>
    <t>Jun, 23</t>
  </si>
  <si>
    <t>Mar, 23</t>
  </si>
  <si>
    <t>May, 23</t>
  </si>
  <si>
    <t>Dec, 23</t>
  </si>
  <si>
    <t>Aug, 23</t>
  </si>
  <si>
    <t>Nov, 23</t>
  </si>
  <si>
    <t>Apr, 23</t>
  </si>
  <si>
    <t>Sep, 23</t>
  </si>
  <si>
    <t>Jul, 23</t>
  </si>
  <si>
    <t>Jan, 24</t>
  </si>
  <si>
    <t>signupmonth</t>
  </si>
  <si>
    <t>lifespan</t>
  </si>
  <si>
    <t>Max of Order date</t>
  </si>
  <si>
    <t>Min of Order date</t>
  </si>
  <si>
    <t>frequency</t>
  </si>
  <si>
    <t>clv</t>
  </si>
  <si>
    <t>Revenue Growth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</si>
</sst>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_-[$₦-470]* #,##0_-;\-[$₦-470]* #,##0_-;_-[$₦-470]* &quot;-&quot;_-;_-@_-"/>
    <numFmt numFmtId="166" formatCode="_-[$₦-470]* #,##0.00_-;\-[$₦-470]* #,##0.00_-;_-[$₦-470]* &quot;-&quot;??_-;_-@_-"/>
  </numFmts>
  <fonts count="4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22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9" fontId="0" fillId="0" borderId="0" xfId="1" applyNumberFormat="1" applyFont="1"/>
    <xf numFmtId="0" fontId="3" fillId="0" borderId="0" xfId="0" applyFont="1"/>
    <xf numFmtId="165" fontId="0" fillId="0" borderId="0" xfId="0" applyNumberFormat="1"/>
    <xf numFmtId="166" fontId="0" fillId="0" borderId="0" xfId="2" applyNumberFormat="1" applyFont="1"/>
    <xf numFmtId="9" fontId="0" fillId="0" borderId="0" xfId="1" applyFont="1"/>
    <xf numFmtId="9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20">
    <dxf>
      <numFmt numFmtId="19" formatCode="m/d/yyyy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9" formatCode="m/d/yyyy"/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4" formatCode="yyyy\-mm\-dd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mruColors>
      <color rgb="FFFF3D29"/>
      <color rgb="FF34E8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[Ecommerce_Analytics_Practice_Dataset(AutoRecovered).xlsx]metrics calculation!PivotTable8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'metrics calculation'!$H$24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'metrics calculation'!$G$25:$G$38</c:f>
              <c:strCache>
                <c:ptCount val="13"/>
                <c:pt idx="0">
                  <c:v>Oct, 23</c:v>
                </c:pt>
                <c:pt idx="1">
                  <c:v>Feb, 23</c:v>
                </c:pt>
                <c:pt idx="2">
                  <c:v>Jan, 23</c:v>
                </c:pt>
                <c:pt idx="3">
                  <c:v>Jun, 23</c:v>
                </c:pt>
                <c:pt idx="4">
                  <c:v>Mar, 23</c:v>
                </c:pt>
                <c:pt idx="5">
                  <c:v>May, 23</c:v>
                </c:pt>
                <c:pt idx="6">
                  <c:v>Dec, 23</c:v>
                </c:pt>
                <c:pt idx="7">
                  <c:v>Aug, 23</c:v>
                </c:pt>
                <c:pt idx="8">
                  <c:v>Nov, 23</c:v>
                </c:pt>
                <c:pt idx="9">
                  <c:v>Apr, 23</c:v>
                </c:pt>
                <c:pt idx="10">
                  <c:v>Sep, 23</c:v>
                </c:pt>
                <c:pt idx="11">
                  <c:v>Jul, 23</c:v>
                </c:pt>
                <c:pt idx="12">
                  <c:v>Jan, 24</c:v>
                </c:pt>
              </c:strCache>
            </c:strRef>
          </c:cat>
          <c:val>
            <c:numRef>
              <c:f>'metrics calculation'!$H$25:$H$38</c:f>
              <c:numCache>
                <c:formatCode>General</c:formatCode>
                <c:ptCount val="13"/>
                <c:pt idx="0">
                  <c:v>45</c:v>
                </c:pt>
                <c:pt idx="1">
                  <c:v>48</c:v>
                </c:pt>
                <c:pt idx="2">
                  <c:v>25</c:v>
                </c:pt>
                <c:pt idx="3">
                  <c:v>21</c:v>
                </c:pt>
                <c:pt idx="4">
                  <c:v>29</c:v>
                </c:pt>
                <c:pt idx="5">
                  <c:v>49</c:v>
                </c:pt>
                <c:pt idx="6">
                  <c:v>23</c:v>
                </c:pt>
                <c:pt idx="7">
                  <c:v>32</c:v>
                </c:pt>
                <c:pt idx="8">
                  <c:v>22</c:v>
                </c:pt>
                <c:pt idx="9">
                  <c:v>28</c:v>
                </c:pt>
                <c:pt idx="10">
                  <c:v>21</c:v>
                </c:pt>
                <c:pt idx="11">
                  <c:v>14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CC-4FD2-AAB9-3B5E5DD80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613264"/>
        <c:axId val="227612848"/>
      </c:lineChart>
      <c:catAx>
        <c:axId val="22761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12848"/>
        <c:crosses val="autoZero"/>
        <c:auto val="1"/>
        <c:lblAlgn val="ctr"/>
        <c:lblOffset val="100"/>
        <c:noMultiLvlLbl val="0"/>
      </c:catAx>
      <c:valAx>
        <c:axId val="2276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1326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[Ecommerce_Analytics_Practice_Dataset(AutoRecovered).xlsx]metrics calculation!PivotTable3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Volatility Insight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gradFill>
              <a:gsLst>
                <a:gs pos="0">
                  <a:schemeClr val="accent6">
                    <a:lumMod val="50000"/>
                  </a:schemeClr>
                </a:gs>
                <a:gs pos="35000">
                  <a:schemeClr val="accent6">
                    <a:lumMod val="50000"/>
                  </a:schemeClr>
                </a:gs>
                <a:gs pos="83000">
                  <a:srgbClr val="C00000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gradFill>
              <a:gsLst>
                <a:gs pos="0">
                  <a:schemeClr val="accent6">
                    <a:lumMod val="50000"/>
                  </a:schemeClr>
                </a:gs>
                <a:gs pos="35000">
                  <a:schemeClr val="accent6">
                    <a:lumMod val="50000"/>
                  </a:schemeClr>
                </a:gs>
                <a:gs pos="83000">
                  <a:srgbClr val="C00000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'metrics calculation'!$E$2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gradFill>
                <a:gsLst>
                  <a:gs pos="0">
                    <a:schemeClr val="accent6">
                      <a:lumMod val="50000"/>
                    </a:schemeClr>
                  </a:gs>
                  <a:gs pos="35000">
                    <a:schemeClr val="accent6">
                      <a:lumMod val="50000"/>
                    </a:schemeClr>
                  </a:gs>
                  <a:gs pos="83000">
                    <a:srgbClr val="C00000"/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'metrics calculation'!$D$3:$D$9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'metrics calculation'!$E$3:$E$9</c:f>
              <c:numCache>
                <c:formatCode>General</c:formatCode>
                <c:ptCount val="6"/>
                <c:pt idx="0">
                  <c:v>38121.719999999994</c:v>
                </c:pt>
                <c:pt idx="1">
                  <c:v>36272.57</c:v>
                </c:pt>
                <c:pt idx="2">
                  <c:v>52091.569999999963</c:v>
                </c:pt>
                <c:pt idx="3">
                  <c:v>37290.869999999995</c:v>
                </c:pt>
                <c:pt idx="4">
                  <c:v>33711.56</c:v>
                </c:pt>
                <c:pt idx="5">
                  <c:v>51826.359999999993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4-4975-A204-EA31615A0F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1047424"/>
        <c:axId val="351048256"/>
      </c:lineChart>
      <c:catAx>
        <c:axId val="351047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048256"/>
        <c:crosses val="autoZero"/>
        <c:auto val="1"/>
        <c:lblAlgn val="ctr"/>
        <c:lblOffset val="100"/>
        <c:noMultiLvlLbl val="0"/>
      </c:catAx>
      <c:valAx>
        <c:axId val="3510482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5104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[Ecommerce_Analytics_Practice_Dataset(AutoRecovered).xlsx]metrics calculation!PivotTable8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 Acquisition</a:t>
            </a:r>
            <a:r>
              <a:rPr lang="en-US" b="1" baseline="0"/>
              <a:t> trend (2023 vs 2024)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gradFill>
              <a:gsLst>
                <a:gs pos="32000">
                  <a:srgbClr val="FF3D29"/>
                </a:gs>
                <a:gs pos="60000">
                  <a:srgbClr val="00B05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4"/>
        <c:spPr>
          <a:ln w="25400" cap="rnd">
            <a:solidFill>
              <a:srgbClr val="FF3D29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5"/>
        <c:spPr>
          <a:ln w="25400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6"/>
        <c:spPr>
          <a:ln w="25400" cap="rnd">
            <a:gradFill>
              <a:gsLst>
                <a:gs pos="83000">
                  <a:srgbClr val="FF3D29"/>
                </a:gs>
                <a:gs pos="3000">
                  <a:srgbClr val="00B05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7"/>
        <c:spPr>
          <a:ln w="25400" cap="rnd">
            <a:solidFill>
              <a:srgbClr val="FF3D29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8"/>
        <c:spPr>
          <a:ln w="25400" cap="rnd">
            <a:solidFill>
              <a:srgbClr val="FF3D29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9"/>
        <c:spPr>
          <a:ln w="25400" cap="rnd">
            <a:gradFill>
              <a:gsLst>
                <a:gs pos="30000">
                  <a:srgbClr val="00B050"/>
                </a:gs>
                <a:gs pos="86000">
                  <a:srgbClr val="FF3D29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10"/>
        <c:spPr>
          <a:ln w="25400" cap="rnd">
            <a:solidFill>
              <a:srgbClr val="FF3D29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11"/>
        <c:spPr>
          <a:ln w="25400" cap="rnd">
            <a:solidFill>
              <a:srgbClr val="FF3D29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12"/>
        <c:spPr>
          <a:ln w="25400" cap="rnd">
            <a:solidFill>
              <a:srgbClr val="FF3D29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13"/>
        <c:spPr>
          <a:ln w="25400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  <c:pivotFmt>
        <c:idx val="14"/>
        <c:spPr>
          <a:ln w="25400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'metrics calculation'!$H$24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3B-45E5-BBB4-212F86788F6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gradFill>
                  <a:gsLst>
                    <a:gs pos="83000">
                      <a:srgbClr val="FF3D29"/>
                    </a:gs>
                    <a:gs pos="3000">
                      <a:srgbClr val="00B05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B3B-45E5-BBB4-212F86788F6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FF3D2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3B-45E5-BBB4-212F86788F6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FF3D2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B3B-45E5-BBB4-212F86788F6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gradFill>
                  <a:gsLst>
                    <a:gs pos="32000">
                      <a:srgbClr val="FF3D29"/>
                    </a:gs>
                    <a:gs pos="60000">
                      <a:srgbClr val="00B050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3B-45E5-BBB4-212F86788F6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gradFill>
                  <a:gsLst>
                    <a:gs pos="30000">
                      <a:srgbClr val="00B050"/>
                    </a:gs>
                    <a:gs pos="86000">
                      <a:srgbClr val="FF3D29"/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B3B-45E5-BBB4-212F86788F6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FF3D2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BB3B-45E5-BBB4-212F86788F6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FF3D2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B3B-45E5-BBB4-212F86788F6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FF3D2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3B-45E5-BBB4-212F86788F6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FF3D2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B3B-45E5-BBB4-212F86788F6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B3B-45E5-BBB4-212F86788F6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tx1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BB3B-45E5-BBB4-212F86788F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gradFill>
                  <a:gsLst>
                    <a:gs pos="40000">
                      <a:srgbClr val="00B050"/>
                    </a:gs>
                    <a:gs pos="13000">
                      <a:srgbClr val="00B050"/>
                    </a:gs>
                    <a:gs pos="100000">
                      <a:srgbClr val="FF3D29"/>
                    </a:gs>
                  </a:gsLst>
                  <a:lin ang="5400000" scaled="1"/>
                </a:gra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'metrics calculation'!$G$25:$G$38</c:f>
              <c:strCache>
                <c:ptCount val="13"/>
                <c:pt idx="0">
                  <c:v>Oct, 23</c:v>
                </c:pt>
                <c:pt idx="1">
                  <c:v>Feb, 23</c:v>
                </c:pt>
                <c:pt idx="2">
                  <c:v>Jan, 23</c:v>
                </c:pt>
                <c:pt idx="3">
                  <c:v>Jun, 23</c:v>
                </c:pt>
                <c:pt idx="4">
                  <c:v>Mar, 23</c:v>
                </c:pt>
                <c:pt idx="5">
                  <c:v>May, 23</c:v>
                </c:pt>
                <c:pt idx="6">
                  <c:v>Dec, 23</c:v>
                </c:pt>
                <c:pt idx="7">
                  <c:v>Aug, 23</c:v>
                </c:pt>
                <c:pt idx="8">
                  <c:v>Nov, 23</c:v>
                </c:pt>
                <c:pt idx="9">
                  <c:v>Apr, 23</c:v>
                </c:pt>
                <c:pt idx="10">
                  <c:v>Sep, 23</c:v>
                </c:pt>
                <c:pt idx="11">
                  <c:v>Jul, 23</c:v>
                </c:pt>
                <c:pt idx="12">
                  <c:v>Jan, 24</c:v>
                </c:pt>
              </c:strCache>
            </c:strRef>
          </c:cat>
          <c:val>
            <c:numRef>
              <c:f>'metrics calculation'!$H$25:$H$38</c:f>
              <c:numCache>
                <c:formatCode>General</c:formatCode>
                <c:ptCount val="13"/>
                <c:pt idx="0">
                  <c:v>45</c:v>
                </c:pt>
                <c:pt idx="1">
                  <c:v>48</c:v>
                </c:pt>
                <c:pt idx="2">
                  <c:v>25</c:v>
                </c:pt>
                <c:pt idx="3">
                  <c:v>21</c:v>
                </c:pt>
                <c:pt idx="4">
                  <c:v>29</c:v>
                </c:pt>
                <c:pt idx="5">
                  <c:v>49</c:v>
                </c:pt>
                <c:pt idx="6">
                  <c:v>23</c:v>
                </c:pt>
                <c:pt idx="7">
                  <c:v>32</c:v>
                </c:pt>
                <c:pt idx="8">
                  <c:v>22</c:v>
                </c:pt>
                <c:pt idx="9">
                  <c:v>28</c:v>
                </c:pt>
                <c:pt idx="10">
                  <c:v>21</c:v>
                </c:pt>
                <c:pt idx="11">
                  <c:v>14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B-45E5-BBB4-212F86788F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7613264"/>
        <c:axId val="227612848"/>
      </c:lineChart>
      <c:catAx>
        <c:axId val="22761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12848"/>
        <c:crosses val="autoZero"/>
        <c:auto val="1"/>
        <c:lblAlgn val="ctr"/>
        <c:lblOffset val="100"/>
        <c:noMultiLvlLbl val="0"/>
      </c:catAx>
      <c:valAx>
        <c:axId val="2276128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2761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638735</xdr:colOff>
      <xdr:row>15</xdr:row>
      <xdr:rowOff>141194</xdr:rowOff>
    </xdr:from>
    <xdr:to>
      <xdr:col>8</xdr:col>
      <xdr:colOff>862853</xdr:colOff>
      <xdr:row>31</xdr:row>
      <xdr:rowOff>15688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78457-76C7-4B28-99AC-A3C345216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87966</xdr:colOff>
      <xdr:row>0</xdr:row>
      <xdr:rowOff>47626</xdr:rowOff>
    </xdr:from>
    <xdr:to>
      <xdr:col>15</xdr:col>
      <xdr:colOff>493058</xdr:colOff>
      <xdr:row>2</xdr:row>
      <xdr:rowOff>89647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EA9011-CF22-4490-BFA2-042FAD6B33F5}"/>
            </a:ext>
          </a:extLst>
        </xdr:cNvPr>
        <xdr:cNvSpPr txBox="1"/>
      </xdr:nvSpPr>
      <xdr:spPr>
        <a:xfrm>
          <a:off x="3472142" y="47626"/>
          <a:ext cx="7879416" cy="4006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latin typeface="Bell MT" panose="02020503060305020303" pitchFamily="18" charset="0"/>
            </a:rPr>
            <a:t>Should</a:t>
          </a:r>
          <a:r>
            <a:rPr lang="en-US" sz="2000" b="1" baseline="0">
              <a:latin typeface="Bell MT" panose="02020503060305020303" pitchFamily="18" charset="0"/>
            </a:rPr>
            <a:t> this Startup focus on GROWTH or PROFITABILITY  first?</a:t>
          </a:r>
          <a:endParaRPr lang="en-US" sz="2000" b="1">
            <a:latin typeface="Bell MT" panose="02020503060305020303" pitchFamily="18" charset="0"/>
          </a:endParaRPr>
        </a:p>
      </xdr:txBody>
    </xdr:sp>
    <xdr:clientData/>
  </xdr:twoCellAnchor>
  <xdr:twoCellAnchor>
    <xdr:from>
      <xdr:col>2</xdr:col>
      <xdr:colOff>135589</xdr:colOff>
      <xdr:row>4</xdr:row>
      <xdr:rowOff>112060</xdr:rowOff>
    </xdr:from>
    <xdr:to>
      <xdr:col>5</xdr:col>
      <xdr:colOff>246530</xdr:colOff>
      <xdr:row>7</xdr:row>
      <xdr:rowOff>67235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B6054-B739-4919-AF36-0D8BFA7AD137}"/>
            </a:ext>
          </a:extLst>
        </xdr:cNvPr>
        <xdr:cNvSpPr txBox="1"/>
      </xdr:nvSpPr>
      <xdr:spPr>
        <a:xfrm>
          <a:off x="1502707" y="829236"/>
          <a:ext cx="2127999" cy="4930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/>
            <a:t>Revenue Overview </a:t>
          </a:r>
        </a:p>
      </xdr:txBody>
    </xdr:sp>
    <xdr:clientData/>
  </xdr:twoCellAnchor>
  <xdr:twoCellAnchor>
    <xdr:from>
      <xdr:col>0</xdr:col>
      <xdr:colOff>82924</xdr:colOff>
      <xdr:row>9</xdr:row>
      <xdr:rowOff>100853</xdr:rowOff>
    </xdr:from>
    <xdr:to>
      <xdr:col>6</xdr:col>
      <xdr:colOff>661147</xdr:colOff>
      <xdr:row>19</xdr:row>
      <xdr:rowOff>179293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C79AF-5F5C-408A-83D9-D5273E9F1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435352</xdr:colOff>
      <xdr:row>6</xdr:row>
      <xdr:rowOff>107017</xdr:rowOff>
    </xdr:from>
    <xdr:to>
      <xdr:col>7</xdr:col>
      <xdr:colOff>72841</xdr:colOff>
      <xdr:row>9</xdr:row>
      <xdr:rowOff>42023</xdr:rowOff>
    </xdr:to>
    <xdr:sp macro="" textlink="">
      <xdr:nvSpPr>
        <xdr:cNvPr id="7" name="Arrow: Pentagon 6">
          <a:extLst>
            <a:ext uri="{FF2B5EF4-FFF2-40B4-BE49-F238E27FC236}">
              <a16:creationId xmlns:a16="http://schemas.microsoft.com/office/drawing/2014/main" id="{286CCBA8-C182-4A61-BBDC-F70809731044}"/>
            </a:ext>
          </a:extLst>
        </xdr:cNvPr>
        <xdr:cNvSpPr/>
      </xdr:nvSpPr>
      <xdr:spPr>
        <a:xfrm>
          <a:off x="3819528" y="1182782"/>
          <a:ext cx="1351989" cy="472888"/>
        </a:xfrm>
        <a:prstGeom prst="homePlat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TOTAL REVENUE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₦  249,315 </a:t>
          </a:r>
          <a:endParaRPr lang="en-US" sz="1100"/>
        </a:p>
      </xdr:txBody>
    </xdr:sp>
    <xdr:clientData/>
  </xdr:twoCellAnchor>
  <xdr:twoCellAnchor>
    <xdr:from>
      <xdr:col>0</xdr:col>
      <xdr:colOff>105896</xdr:colOff>
      <xdr:row>6</xdr:row>
      <xdr:rowOff>81244</xdr:rowOff>
    </xdr:from>
    <xdr:to>
      <xdr:col>1</xdr:col>
      <xdr:colOff>353546</xdr:colOff>
      <xdr:row>9</xdr:row>
      <xdr:rowOff>25775</xdr:rowOff>
    </xdr:to>
    <xdr:sp macro="" textlink="">
      <xdr:nvSpPr>
        <xdr:cNvPr id="8" name="Arrow: Pentagon 7">
          <a:extLst>
            <a:ext uri="{FF2B5EF4-FFF2-40B4-BE49-F238E27FC236}">
              <a16:creationId xmlns:a16="http://schemas.microsoft.com/office/drawing/2014/main" id="{0710A239-90E5-4DC8-9A59-FAEB5081CD6E}"/>
            </a:ext>
          </a:extLst>
        </xdr:cNvPr>
        <xdr:cNvSpPr/>
      </xdr:nvSpPr>
      <xdr:spPr>
        <a:xfrm>
          <a:off x="105896" y="1157009"/>
          <a:ext cx="931209" cy="482413"/>
        </a:xfrm>
        <a:prstGeom prst="homePlat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AOV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₦ 692.54 </a:t>
          </a:r>
          <a:endParaRPr lang="en-US" sz="1100"/>
        </a:p>
      </xdr:txBody>
    </xdr:sp>
    <xdr:clientData/>
  </xdr:twoCellAnchor>
  <xdr:twoCellAnchor>
    <xdr:from>
      <xdr:col>2</xdr:col>
      <xdr:colOff>337296</xdr:colOff>
      <xdr:row>26</xdr:row>
      <xdr:rowOff>160245</xdr:rowOff>
    </xdr:from>
    <xdr:to>
      <xdr:col>4</xdr:col>
      <xdr:colOff>308721</xdr:colOff>
      <xdr:row>29</xdr:row>
      <xdr:rowOff>150720</xdr:rowOff>
    </xdr:to>
    <xdr:sp macro="" textlink="">
      <xdr:nvSpPr>
        <xdr:cNvPr id="9" name="Arrow: Pentagon 8">
          <a:extLst>
            <a:ext uri="{FF2B5EF4-FFF2-40B4-BE49-F238E27FC236}">
              <a16:creationId xmlns:a16="http://schemas.microsoft.com/office/drawing/2014/main" id="{D28D8B4F-99D2-4113-927A-AE27D5D0AA3E}"/>
            </a:ext>
          </a:extLst>
        </xdr:cNvPr>
        <xdr:cNvSpPr/>
      </xdr:nvSpPr>
      <xdr:spPr>
        <a:xfrm>
          <a:off x="1704414" y="4833098"/>
          <a:ext cx="1573866" cy="528357"/>
        </a:xfrm>
        <a:prstGeom prst="homePlat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Average Frequency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12%</a:t>
          </a:r>
          <a:r>
            <a:rPr lang="en-US"/>
            <a:t> </a:t>
          </a:r>
          <a:endParaRPr lang="en-US" sz="1100" b="0"/>
        </a:p>
      </xdr:txBody>
    </xdr:sp>
    <xdr:clientData/>
  </xdr:twoCellAnchor>
  <xdr:twoCellAnchor>
    <xdr:from>
      <xdr:col>0</xdr:col>
      <xdr:colOff>39222</xdr:colOff>
      <xdr:row>24</xdr:row>
      <xdr:rowOff>154642</xdr:rowOff>
    </xdr:from>
    <xdr:to>
      <xdr:col>2</xdr:col>
      <xdr:colOff>291353</xdr:colOff>
      <xdr:row>28</xdr:row>
      <xdr:rowOff>44825</xdr:rowOff>
    </xdr:to>
    <xdr:sp macro="" textlink="">
      <xdr:nvSpPr>
        <xdr:cNvPr id="10" name="Arrow: Pentagon 9">
          <a:extLst>
            <a:ext uri="{FF2B5EF4-FFF2-40B4-BE49-F238E27FC236}">
              <a16:creationId xmlns:a16="http://schemas.microsoft.com/office/drawing/2014/main" id="{36DBBB0D-5299-4937-BA68-54F321E6A30E}"/>
            </a:ext>
          </a:extLst>
        </xdr:cNvPr>
        <xdr:cNvSpPr/>
      </xdr:nvSpPr>
      <xdr:spPr>
        <a:xfrm>
          <a:off x="39222" y="4468907"/>
          <a:ext cx="1619249" cy="607359"/>
        </a:xfrm>
        <a:prstGeom prst="homePlat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Average Customer</a:t>
          </a:r>
          <a:r>
            <a:rPr lang="en-US" sz="1100" b="1" baseline="0"/>
            <a:t> </a:t>
          </a:r>
          <a:r>
            <a:rPr lang="en-US" sz="1100" b="1"/>
            <a:t>Lifespan</a:t>
          </a: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75.8 days </a:t>
          </a:r>
          <a:r>
            <a:rPr lang="en-US"/>
            <a:t> </a:t>
          </a:r>
          <a:endParaRPr lang="en-US" sz="1100" b="1"/>
        </a:p>
      </xdr:txBody>
    </xdr:sp>
    <xdr:clientData/>
  </xdr:twoCellAnchor>
  <xdr:twoCellAnchor>
    <xdr:from>
      <xdr:col>4</xdr:col>
      <xdr:colOff>403411</xdr:colOff>
      <xdr:row>28</xdr:row>
      <xdr:rowOff>77881</xdr:rowOff>
    </xdr:from>
    <xdr:to>
      <xdr:col>6</xdr:col>
      <xdr:colOff>1022536</xdr:colOff>
      <xdr:row>31</xdr:row>
      <xdr:rowOff>68356</xdr:rowOff>
    </xdr:to>
    <xdr:sp macro="" textlink="">
      <xdr:nvSpPr>
        <xdr:cNvPr id="11" name="Arrow: Pentagon 10">
          <a:extLst>
            <a:ext uri="{FF2B5EF4-FFF2-40B4-BE49-F238E27FC236}">
              <a16:creationId xmlns:a16="http://schemas.microsoft.com/office/drawing/2014/main" id="{DEB7F212-0C06-48C6-84C2-BF2DB6A5C04F}"/>
            </a:ext>
          </a:extLst>
        </xdr:cNvPr>
        <xdr:cNvSpPr/>
      </xdr:nvSpPr>
      <xdr:spPr>
        <a:xfrm>
          <a:off x="3372970" y="5109322"/>
          <a:ext cx="1717301" cy="528358"/>
        </a:xfrm>
        <a:prstGeom prst="homePlat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Reapeat</a:t>
          </a:r>
          <a:r>
            <a:rPr lang="en-US" sz="1100" b="1" baseline="0"/>
            <a:t> Purchase rate</a:t>
          </a:r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83%</a:t>
          </a:r>
          <a:r>
            <a:rPr lang="en-US"/>
            <a:t> </a:t>
          </a:r>
          <a:endParaRPr lang="en-US" sz="1100" b="1"/>
        </a:p>
      </xdr:txBody>
    </xdr:sp>
    <xdr:clientData/>
  </xdr:twoCellAnchor>
  <xdr:oneCellAnchor>
    <xdr:from>
      <xdr:col>5</xdr:col>
      <xdr:colOff>354105</xdr:colOff>
      <xdr:row>25</xdr:row>
      <xdr:rowOff>43703</xdr:rowOff>
    </xdr:from>
    <xdr:ext cx="2409825" cy="436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65BEE14-EA2D-48E7-BB0C-211398E71DBA}"/>
            </a:ext>
          </a:extLst>
        </xdr:cNvPr>
        <xdr:cNvSpPr txBox="1"/>
      </xdr:nvSpPr>
      <xdr:spPr>
        <a:xfrm flipH="1">
          <a:off x="3738281" y="4537262"/>
          <a:ext cx="240982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0" i="1"/>
            <a:t>#Retention</a:t>
          </a:r>
          <a:r>
            <a:rPr lang="en-US" sz="1100" b="0" i="1" baseline="0"/>
            <a:t> is strong, indicating product-market fit</a:t>
          </a:r>
          <a:endParaRPr lang="en-US" sz="1100" b="0" i="1"/>
        </a:p>
      </xdr:txBody>
    </xdr:sp>
    <xdr:clientData/>
  </xdr:oneCellAnchor>
  <xdr:oneCellAnchor>
    <xdr:from>
      <xdr:col>6</xdr:col>
      <xdr:colOff>649940</xdr:colOff>
      <xdr:row>16</xdr:row>
      <xdr:rowOff>135031</xdr:rowOff>
    </xdr:from>
    <xdr:ext cx="2816597" cy="43678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86CD462-8EC9-4AA2-BFAE-FA8D03E70881}"/>
            </a:ext>
          </a:extLst>
        </xdr:cNvPr>
        <xdr:cNvSpPr txBox="1"/>
      </xdr:nvSpPr>
      <xdr:spPr>
        <a:xfrm flipH="1">
          <a:off x="4717675" y="3014943"/>
          <a:ext cx="281659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eaLnBrk="1" fontAlgn="auto" latinLnBrk="0" hangingPunct="1"/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#Revenue shows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inconsistent month-over-month growth, signaling unstable expansion.</a:t>
          </a:r>
          <a:endParaRPr lang="en-US" sz="1200" b="0" i="1">
            <a:effectLst/>
          </a:endParaRPr>
        </a:p>
      </xdr:txBody>
    </xdr:sp>
    <xdr:clientData/>
  </xdr:oneCellAnchor>
  <xdr:oneCellAnchor>
    <xdr:from>
      <xdr:col>18</xdr:col>
      <xdr:colOff>324973</xdr:colOff>
      <xdr:row>13</xdr:row>
      <xdr:rowOff>10085</xdr:rowOff>
    </xdr:from>
    <xdr:ext cx="1232647" cy="78124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266D20B-B9EF-4D83-B558-054B49A7309E}"/>
            </a:ext>
          </a:extLst>
        </xdr:cNvPr>
        <xdr:cNvSpPr txBox="1"/>
      </xdr:nvSpPr>
      <xdr:spPr>
        <a:xfrm flipH="1">
          <a:off x="13234149" y="2352114"/>
          <a:ext cx="1232647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0" i="1"/>
            <a:t>#Customer</a:t>
          </a:r>
          <a:r>
            <a:rPr lang="en-US" sz="1100" b="0" i="1" baseline="0"/>
            <a:t> growth expansion stalled</a:t>
          </a:r>
        </a:p>
        <a:p>
          <a:r>
            <a:rPr lang="en-US" sz="1100" b="0" i="1" baseline="0"/>
            <a:t> in 2024.</a:t>
          </a:r>
          <a:endParaRPr lang="en-US" sz="1100" b="0" i="1"/>
        </a:p>
      </xdr:txBody>
    </xdr:sp>
    <xdr:clientData/>
  </xdr:oneCellAnchor>
  <xdr:twoCellAnchor>
    <xdr:from>
      <xdr:col>12</xdr:col>
      <xdr:colOff>566457</xdr:colOff>
      <xdr:row>4</xdr:row>
      <xdr:rowOff>71157</xdr:rowOff>
    </xdr:from>
    <xdr:to>
      <xdr:col>16</xdr:col>
      <xdr:colOff>268942</xdr:colOff>
      <xdr:row>6</xdr:row>
      <xdr:rowOff>118781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34FC5AC-238D-42D8-8235-3894CE46B944}"/>
            </a:ext>
          </a:extLst>
        </xdr:cNvPr>
        <xdr:cNvSpPr txBox="1"/>
      </xdr:nvSpPr>
      <xdr:spPr>
        <a:xfrm>
          <a:off x="9374281" y="788333"/>
          <a:ext cx="2436720" cy="406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Growth Engine Diagnosis</a:t>
          </a:r>
          <a:endParaRPr lang="en-US" sz="1600">
            <a:effectLst/>
          </a:endParaRPr>
        </a:p>
        <a:p>
          <a:endParaRPr lang="en-US" sz="1600"/>
        </a:p>
      </xdr:txBody>
    </xdr:sp>
    <xdr:clientData/>
  </xdr:twoCellAnchor>
  <xdr:twoCellAnchor>
    <xdr:from>
      <xdr:col>2</xdr:col>
      <xdr:colOff>424143</xdr:colOff>
      <xdr:row>21</xdr:row>
      <xdr:rowOff>123825</xdr:rowOff>
    </xdr:from>
    <xdr:to>
      <xdr:col>6</xdr:col>
      <xdr:colOff>302559</xdr:colOff>
      <xdr:row>23</xdr:row>
      <xdr:rowOff>179293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1031A90-00C0-4426-AB15-E3F156C5E276}"/>
            </a:ext>
          </a:extLst>
        </xdr:cNvPr>
        <xdr:cNvSpPr txBox="1"/>
      </xdr:nvSpPr>
      <xdr:spPr>
        <a:xfrm>
          <a:off x="1791261" y="3900207"/>
          <a:ext cx="2579033" cy="4140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Value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Strength</a:t>
          </a:r>
          <a:endParaRPr lang="en-US" sz="1600">
            <a:effectLst/>
          </a:endParaRPr>
        </a:p>
        <a:p>
          <a:pPr algn="ctr"/>
          <a:endParaRPr lang="en-US" sz="1600"/>
        </a:p>
      </xdr:txBody>
    </xdr:sp>
    <xdr:clientData/>
  </xdr:twoCellAnchor>
  <xdr:twoCellAnchor>
    <xdr:from>
      <xdr:col>10</xdr:col>
      <xdr:colOff>483532</xdr:colOff>
      <xdr:row>7</xdr:row>
      <xdr:rowOff>33618</xdr:rowOff>
    </xdr:from>
    <xdr:to>
      <xdr:col>18</xdr:col>
      <xdr:colOff>358587</xdr:colOff>
      <xdr:row>19</xdr:row>
      <xdr:rowOff>179293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683C6FB-256C-46BD-A669-3F7CB38A6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44822</xdr:colOff>
      <xdr:row>20</xdr:row>
      <xdr:rowOff>156884</xdr:rowOff>
    </xdr:from>
    <xdr:to>
      <xdr:col>16</xdr:col>
      <xdr:colOff>430865</xdr:colOff>
      <xdr:row>23</xdr:row>
      <xdr:rowOff>25214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BDC94BD-D731-44B5-A49A-A8B1A6E17064}"/>
            </a:ext>
          </a:extLst>
        </xdr:cNvPr>
        <xdr:cNvSpPr txBox="1"/>
      </xdr:nvSpPr>
      <xdr:spPr>
        <a:xfrm>
          <a:off x="9536204" y="3753972"/>
          <a:ext cx="2436720" cy="406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Execution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Decision Panel</a:t>
          </a:r>
          <a:endParaRPr lang="en-US" sz="1600">
            <a:effectLst/>
          </a:endParaRPr>
        </a:p>
        <a:p>
          <a:pPr algn="ctr"/>
          <a:endParaRPr lang="en-US" sz="1600"/>
        </a:p>
      </xdr:txBody>
    </xdr:sp>
    <xdr:clientData/>
  </xdr:twoCellAnchor>
  <xdr:oneCellAnchor>
    <xdr:from>
      <xdr:col>10</xdr:col>
      <xdr:colOff>268941</xdr:colOff>
      <xdr:row>23</xdr:row>
      <xdr:rowOff>112058</xdr:rowOff>
    </xdr:from>
    <xdr:ext cx="3810000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CB5BD68-1B32-4715-977F-0EFB3318C5BA}"/>
            </a:ext>
          </a:extLst>
        </xdr:cNvPr>
        <xdr:cNvSpPr txBox="1"/>
      </xdr:nvSpPr>
      <xdr:spPr>
        <a:xfrm flipH="1">
          <a:off x="7709647" y="4247029"/>
          <a:ext cx="38100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i="1"/>
            <a:t>Recommendation: </a:t>
          </a:r>
          <a:r>
            <a:rPr lang="en-US" sz="1400" b="1" i="0"/>
            <a:t>Prioritize</a:t>
          </a:r>
          <a:r>
            <a:rPr lang="en-US" sz="1400" b="1" i="0" baseline="0"/>
            <a:t> Disciplined Growth</a:t>
          </a:r>
          <a:endParaRPr lang="en-US" sz="1400" b="1" i="1"/>
        </a:p>
      </xdr:txBody>
    </xdr:sp>
    <xdr:clientData/>
  </xdr:oneCellAnchor>
  <xdr:oneCellAnchor>
    <xdr:from>
      <xdr:col>10</xdr:col>
      <xdr:colOff>156881</xdr:colOff>
      <xdr:row>25</xdr:row>
      <xdr:rowOff>33617</xdr:rowOff>
    </xdr:from>
    <xdr:ext cx="6398560" cy="968983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607F103-0685-452E-A391-58361D8C48D8}"/>
            </a:ext>
          </a:extLst>
        </xdr:cNvPr>
        <xdr:cNvSpPr txBox="1"/>
      </xdr:nvSpPr>
      <xdr:spPr>
        <a:xfrm flipH="1">
          <a:off x="7597587" y="4527176"/>
          <a:ext cx="6398560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i="0"/>
            <a:t>~</a:t>
          </a:r>
          <a:r>
            <a:rPr lang="en-US" sz="1400" b="1" i="0" baseline="0"/>
            <a:t> </a:t>
          </a:r>
          <a:r>
            <a:rPr lang="en-US" sz="1400" b="0" i="0"/>
            <a:t>Strong retention supports</a:t>
          </a:r>
          <a:r>
            <a:rPr lang="en-US" sz="1400" b="0" i="0" baseline="0"/>
            <a:t> scaling.</a:t>
          </a:r>
        </a:p>
        <a:p>
          <a:r>
            <a:rPr lang="en-US" sz="1400" b="1" i="0" baseline="0"/>
            <a:t>~ </a:t>
          </a:r>
          <a:r>
            <a:rPr lang="en-US" sz="1400" b="0" i="0" baseline="0"/>
            <a:t>Weak acquisition threatens long-term revenue statibility.</a:t>
          </a:r>
        </a:p>
        <a:p>
          <a:r>
            <a:rPr lang="en-US" sz="1400" b="1" i="0" baseline="0"/>
            <a:t>~ </a:t>
          </a:r>
          <a:r>
            <a:rPr lang="en-US" sz="1400" b="0" i="0" baseline="0"/>
            <a:t>Growth should be pursued only if Customer Lifespan Value remains significantly higher than Customer Acquisition Customer .</a:t>
          </a:r>
          <a:endParaRPr lang="en-US" sz="1400" b="0" i="0"/>
        </a:p>
      </xdr:txBody>
    </xdr:sp>
    <xdr:clientData/>
  </xdr:oneCellAnchor>
  <xdr:twoCellAnchor>
    <xdr:from>
      <xdr:col>17</xdr:col>
      <xdr:colOff>280146</xdr:colOff>
      <xdr:row>13</xdr:row>
      <xdr:rowOff>67235</xdr:rowOff>
    </xdr:from>
    <xdr:to>
      <xdr:col>17</xdr:col>
      <xdr:colOff>504263</xdr:colOff>
      <xdr:row>15</xdr:row>
      <xdr:rowOff>56028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44B1681-39D6-4096-AA35-AAEF22F563EA}"/>
            </a:ext>
          </a:extLst>
        </xdr:cNvPr>
        <xdr:cNvCxnSpPr/>
      </xdr:nvCxnSpPr>
      <xdr:spPr>
        <a:xfrm>
          <a:off x="12505764" y="2409264"/>
          <a:ext cx="224117" cy="347382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100854</xdr:colOff>
      <xdr:row>27</xdr:row>
      <xdr:rowOff>123265</xdr:rowOff>
    </xdr:from>
    <xdr:to>
      <xdr:col>8</xdr:col>
      <xdr:colOff>1512795</xdr:colOff>
      <xdr:row>31</xdr:row>
      <xdr:rowOff>22412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3906ECB-C647-41E0-BB6F-14782B747F47}"/>
            </a:ext>
          </a:extLst>
        </xdr:cNvPr>
        <xdr:cNvSpPr txBox="1"/>
      </xdr:nvSpPr>
      <xdr:spPr>
        <a:xfrm>
          <a:off x="5883089" y="4975412"/>
          <a:ext cx="1411941" cy="6163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6.451206597223" createdVersion="7" refreshedVersion="7" minRefreshableVersion="3" recordCount="360" xr:uid="{E5633468-0104-47C1-A115-9A6750A72F99}">
  <cacheSource type="worksheet">
    <worksheetSource name="Table1"/>
  </cacheSource>
  <cacheFields count="11">
    <cacheField name="OrderID" numFmtId="0">
      <sharedItems/>
    </cacheField>
    <cacheField name="Order date" numFmtId="14">
      <sharedItems containsSemiMixedTypes="0" containsNonDate="0" containsDate="1" containsString="0" minDate="2024-01-01T00:00:00" maxDate="2024-06-30T00:00:00"/>
    </cacheField>
    <cacheField name="Order Month" numFmtId="164">
      <sharedItems count="6">
        <s v="Jan"/>
        <s v="Jun"/>
        <s v="May"/>
        <s v="Mar"/>
        <s v="Feb"/>
        <s v="Apr"/>
      </sharedItems>
    </cacheField>
    <cacheField name="CustomerID" numFmtId="0">
      <sharedItems count="115">
        <s v="CUST115"/>
        <s v="CUST077"/>
        <s v="CUST091"/>
        <s v="CUST097"/>
        <s v="CUST018"/>
        <s v="CUST038"/>
        <s v="CUST060"/>
        <s v="CUST006"/>
        <s v="CUST021"/>
        <s v="CUST041"/>
        <s v="CUST110"/>
        <s v="CUST025"/>
        <s v="CUST053"/>
        <s v="CUST043"/>
        <s v="CUST049"/>
        <s v="CUST080"/>
        <s v="CUST071"/>
        <s v="CUST083"/>
        <s v="CUST102"/>
        <s v="CUST061"/>
        <s v="CUST104"/>
        <s v="CUST027"/>
        <s v="CUST001"/>
        <s v="CUST056"/>
        <s v="CUST034"/>
        <s v="CUST098"/>
        <s v="CUST082"/>
        <s v="CUST089"/>
        <s v="CUST031"/>
        <s v="CUST002"/>
        <s v="CUST092"/>
        <s v="CUST073"/>
        <s v="CUST099"/>
        <s v="CUST014"/>
        <s v="CUST081"/>
        <s v="CUST100"/>
        <s v="CUST086"/>
        <s v="CUST059"/>
        <s v="CUST050"/>
        <s v="CUST116"/>
        <s v="CUST096"/>
        <s v="CUST042"/>
        <s v="CUST085"/>
        <s v="CUST084"/>
        <s v="CUST005"/>
        <s v="CUST030"/>
        <s v="CUST101"/>
        <s v="CUST075"/>
        <s v="CUST066"/>
        <s v="CUST012"/>
        <s v="CUST079"/>
        <s v="CUST113"/>
        <s v="CUST003"/>
        <s v="CUST111"/>
        <s v="CUST062"/>
        <s v="CUST035"/>
        <s v="CUST107"/>
        <s v="CUST088"/>
        <s v="CUST087"/>
        <s v="CUST094"/>
        <s v="CUST032"/>
        <s v="CUST069"/>
        <s v="CUST048"/>
        <s v="CUST010"/>
        <s v="CUST063"/>
        <s v="CUST036"/>
        <s v="CUST046"/>
        <s v="CUST064"/>
        <s v="CUST106"/>
        <s v="CUST009"/>
        <s v="CUST119"/>
        <s v="CUST047"/>
        <s v="CUST105"/>
        <s v="CUST015"/>
        <s v="CUST029"/>
        <s v="CUST008"/>
        <s v="CUST114"/>
        <s v="CUST026"/>
        <s v="CUST058"/>
        <s v="CUST045"/>
        <s v="CUST067"/>
        <s v="CUST020"/>
        <s v="CUST076"/>
        <s v="CUST011"/>
        <s v="CUST019"/>
        <s v="CUST072"/>
        <s v="CUST016"/>
        <s v="CUST112"/>
        <s v="CUST120"/>
        <s v="CUST103"/>
        <s v="CUST074"/>
        <s v="CUST023"/>
        <s v="CUST051"/>
        <s v="CUST093"/>
        <s v="CUST118"/>
        <s v="CUST022"/>
        <s v="CUST068"/>
        <s v="CUST024"/>
        <s v="CUST040"/>
        <s v="CUST078"/>
        <s v="CUST044"/>
        <s v="CUST039"/>
        <s v="CUST070"/>
        <s v="CUST109"/>
        <s v="CUST117"/>
        <s v="CUST095"/>
        <s v="CUST004"/>
        <s v="CUST033"/>
        <s v="CUST054"/>
        <s v="CUST108"/>
        <s v="CUST055"/>
        <s v="CUST017"/>
        <s v="CUST090"/>
        <s v="CUST013"/>
        <s v="CUST052"/>
      </sharedItems>
    </cacheField>
    <cacheField name="ProductID" numFmtId="0">
      <sharedItems/>
    </cacheField>
    <cacheField name="Quantity" numFmtId="1">
      <sharedItems containsSemiMixedTypes="0" containsString="0" containsNumber="1" containsInteger="1" minValue="1" maxValue="5"/>
    </cacheField>
    <cacheField name="SalesAmount" numFmtId="2">
      <sharedItems containsSemiMixedTypes="0" containsString="0" containsNumber="1" minValue="39.700000000000003" maxValue="2261"/>
    </cacheField>
    <cacheField name="Category" numFmtId="2">
      <sharedItems count="5">
        <s v="Sports"/>
        <s v="Home"/>
        <s v="Clothing"/>
        <s v="Beauty"/>
        <s v="Electronics"/>
      </sharedItems>
    </cacheField>
    <cacheField name="Country" numFmtId="2">
      <sharedItems count="6">
        <s v="Canada"/>
        <s v="India"/>
        <s v="United States"/>
        <s v="US"/>
        <s v="United Kingdom"/>
        <s v="UK"/>
      </sharedItems>
    </cacheField>
    <cacheField name="SIGNUPDATE" numFmtId="14">
      <sharedItems containsSemiMixedTypes="0" containsNonDate="0" containsDate="1" containsString="0" minDate="2023-01-01T00:00:00" maxDate="2024-01-02T00:00:00"/>
    </cacheField>
    <cacheField name="SIGNUPMONTH" numFmtId="14">
      <sharedItems count="38">
        <s v="Oct, 23"/>
        <s v="Feb, 23"/>
        <s v="Jan, 23"/>
        <s v="Jun, 23"/>
        <s v="Mar, 23"/>
        <s v="May, 23"/>
        <s v="Dec, 23"/>
        <s v="Aug, 23"/>
        <s v="Nov, 23"/>
        <s v="Apr, 23"/>
        <s v="Sep, 23"/>
        <s v="Jul, 23"/>
        <s v="Jan, 24"/>
        <s v="06, 23" u="1"/>
        <s v="08, 23" u="1"/>
        <s v="10, 23" u="1"/>
        <s v="Sep" u="1"/>
        <s v="12, 23" u="1"/>
        <s v="Jan" u="1"/>
        <s v="01, 23" u="1"/>
        <s v="Feb" u="1"/>
        <s v="01, 24" u="1"/>
        <s v="03, 23" u="1"/>
        <s v="05, 23" u="1"/>
        <s v="Apr" u="1"/>
        <s v="07, 23" u="1"/>
        <s v="09, 23" u="1"/>
        <s v="Nov" u="1"/>
        <s v="Dec" u="1"/>
        <s v="Oct" u="1"/>
        <s v="Jul" u="1"/>
        <s v="Mar" u="1"/>
        <s v="Aug" u="1"/>
        <s v="Jun" u="1"/>
        <s v="11, 23" u="1"/>
        <s v="02, 23" u="1"/>
        <s v="May" u="1"/>
        <s v="04, 2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s v="ORD0001"/>
    <d v="2024-01-11T00:00:00"/>
    <x v="0"/>
    <x v="0"/>
    <s v="PROD020"/>
    <n v="5"/>
    <n v="2098.25"/>
    <x v="0"/>
    <x v="0"/>
    <d v="2023-10-11T00:00:00"/>
    <x v="0"/>
  </r>
  <r>
    <s v="ORD0002"/>
    <d v="2024-01-21T00:00:00"/>
    <x v="0"/>
    <x v="1"/>
    <s v="PROD032"/>
    <n v="5"/>
    <n v="199.35"/>
    <x v="0"/>
    <x v="1"/>
    <d v="2023-02-28T00:00:00"/>
    <x v="1"/>
  </r>
  <r>
    <s v="ORD0003"/>
    <d v="2024-06-17T00:00:00"/>
    <x v="1"/>
    <x v="2"/>
    <s v="PROD017"/>
    <n v="4"/>
    <n v="946.76"/>
    <x v="1"/>
    <x v="0"/>
    <d v="2023-01-01T00:00:00"/>
    <x v="2"/>
  </r>
  <r>
    <s v="ORD0004"/>
    <d v="2024-05-24T00:00:00"/>
    <x v="2"/>
    <x v="3"/>
    <s v="PROD006"/>
    <n v="5"/>
    <n v="1972.3"/>
    <x v="2"/>
    <x v="0"/>
    <d v="2023-02-10T00:00:00"/>
    <x v="1"/>
  </r>
  <r>
    <s v="ORD0005"/>
    <d v="2024-03-21T00:00:00"/>
    <x v="3"/>
    <x v="4"/>
    <s v="PROD039"/>
    <n v="5"/>
    <n v="1039.25"/>
    <x v="2"/>
    <x v="2"/>
    <d v="2023-06-24T00:00:00"/>
    <x v="3"/>
  </r>
  <r>
    <s v="ORD0006"/>
    <d v="2024-02-22T00:00:00"/>
    <x v="4"/>
    <x v="5"/>
    <s v="PROD007"/>
    <n v="3"/>
    <n v="309.89999999999998"/>
    <x v="3"/>
    <x v="3"/>
    <d v="2023-03-25T00:00:00"/>
    <x v="4"/>
  </r>
  <r>
    <s v="ORD0007"/>
    <d v="2024-03-02T00:00:00"/>
    <x v="3"/>
    <x v="6"/>
    <s v="PROD027"/>
    <n v="3"/>
    <n v="449.31"/>
    <x v="3"/>
    <x v="4"/>
    <d v="2023-05-07T00:00:00"/>
    <x v="5"/>
  </r>
  <r>
    <s v="ORD0008"/>
    <d v="2024-04-11T00:00:00"/>
    <x v="5"/>
    <x v="0"/>
    <s v="PROD024"/>
    <n v="3"/>
    <n v="1356.6"/>
    <x v="3"/>
    <x v="0"/>
    <d v="2023-10-11T00:00:00"/>
    <x v="0"/>
  </r>
  <r>
    <s v="ORD0009"/>
    <d v="2024-06-20T00:00:00"/>
    <x v="1"/>
    <x v="7"/>
    <s v="PROD024"/>
    <n v="2"/>
    <n v="904.4"/>
    <x v="3"/>
    <x v="5"/>
    <d v="2023-10-30T00:00:00"/>
    <x v="0"/>
  </r>
  <r>
    <s v="ORD0010"/>
    <d v="2024-04-27T00:00:00"/>
    <x v="5"/>
    <x v="8"/>
    <s v="PROD006"/>
    <n v="3"/>
    <n v="1183.3800000000001"/>
    <x v="2"/>
    <x v="5"/>
    <d v="2023-02-17T00:00:00"/>
    <x v="1"/>
  </r>
  <r>
    <s v="ORD0011"/>
    <d v="2024-01-19T00:00:00"/>
    <x v="0"/>
    <x v="9"/>
    <s v="PROD005"/>
    <n v="3"/>
    <n v="877.02"/>
    <x v="0"/>
    <x v="3"/>
    <d v="2023-12-26T00:00:00"/>
    <x v="6"/>
  </r>
  <r>
    <s v="ORD0012"/>
    <d v="2024-04-27T00:00:00"/>
    <x v="5"/>
    <x v="10"/>
    <s v="PROD028"/>
    <n v="1"/>
    <n v="334.32"/>
    <x v="0"/>
    <x v="3"/>
    <d v="2023-08-13T00:00:00"/>
    <x v="7"/>
  </r>
  <r>
    <s v="ORD0013"/>
    <d v="2024-05-24T00:00:00"/>
    <x v="2"/>
    <x v="11"/>
    <s v="PROD033"/>
    <n v="5"/>
    <n v="190.05"/>
    <x v="1"/>
    <x v="5"/>
    <d v="2023-08-24T00:00:00"/>
    <x v="7"/>
  </r>
  <r>
    <s v="ORD0014"/>
    <d v="2024-01-19T00:00:00"/>
    <x v="0"/>
    <x v="12"/>
    <s v="PROD015"/>
    <n v="1"/>
    <n v="272.77999999999997"/>
    <x v="2"/>
    <x v="2"/>
    <d v="2023-05-18T00:00:00"/>
    <x v="5"/>
  </r>
  <r>
    <s v="ORD0015"/>
    <d v="2024-02-24T00:00:00"/>
    <x v="4"/>
    <x v="13"/>
    <s v="PROD017"/>
    <n v="5"/>
    <n v="1183.45"/>
    <x v="1"/>
    <x v="5"/>
    <d v="2023-11-08T00:00:00"/>
    <x v="8"/>
  </r>
  <r>
    <s v="ORD0016"/>
    <d v="2024-03-08T00:00:00"/>
    <x v="3"/>
    <x v="14"/>
    <s v="PROD031"/>
    <n v="5"/>
    <n v="1469"/>
    <x v="4"/>
    <x v="0"/>
    <d v="2023-04-23T00:00:00"/>
    <x v="9"/>
  </r>
  <r>
    <s v="ORD0017"/>
    <d v="2024-03-30T00:00:00"/>
    <x v="3"/>
    <x v="15"/>
    <s v="PROD029"/>
    <n v="2"/>
    <n v="171.7"/>
    <x v="3"/>
    <x v="3"/>
    <d v="2023-02-27T00:00:00"/>
    <x v="1"/>
  </r>
  <r>
    <s v="ORD0018"/>
    <d v="2024-03-03T00:00:00"/>
    <x v="3"/>
    <x v="16"/>
    <s v="PROD040"/>
    <n v="1"/>
    <n v="130.65"/>
    <x v="0"/>
    <x v="1"/>
    <d v="2023-08-05T00:00:00"/>
    <x v="7"/>
  </r>
  <r>
    <s v="ORD0019"/>
    <d v="2024-03-13T00:00:00"/>
    <x v="3"/>
    <x v="17"/>
    <s v="PROD028"/>
    <n v="3"/>
    <n v="1002.96"/>
    <x v="0"/>
    <x v="5"/>
    <d v="2023-05-15T00:00:00"/>
    <x v="5"/>
  </r>
  <r>
    <s v="ORD0020"/>
    <d v="2024-04-22T00:00:00"/>
    <x v="5"/>
    <x v="7"/>
    <s v="PROD020"/>
    <n v="2"/>
    <n v="839.3"/>
    <x v="0"/>
    <x v="5"/>
    <d v="2023-10-30T00:00:00"/>
    <x v="0"/>
  </r>
  <r>
    <s v="ORD0021"/>
    <d v="2024-06-29T00:00:00"/>
    <x v="1"/>
    <x v="7"/>
    <s v="PROD022"/>
    <n v="5"/>
    <n v="457.45"/>
    <x v="2"/>
    <x v="5"/>
    <d v="2023-10-30T00:00:00"/>
    <x v="0"/>
  </r>
  <r>
    <s v="ORD0022"/>
    <d v="2024-06-05T00:00:00"/>
    <x v="1"/>
    <x v="18"/>
    <s v="PROD019"/>
    <n v="3"/>
    <n v="173.94"/>
    <x v="0"/>
    <x v="0"/>
    <d v="2023-03-26T00:00:00"/>
    <x v="4"/>
  </r>
  <r>
    <s v="ORD0023"/>
    <d v="2024-01-03T00:00:00"/>
    <x v="0"/>
    <x v="19"/>
    <s v="PROD022"/>
    <n v="5"/>
    <n v="457.45"/>
    <x v="2"/>
    <x v="1"/>
    <d v="2023-10-15T00:00:00"/>
    <x v="0"/>
  </r>
  <r>
    <s v="ORD0024"/>
    <d v="2024-03-17T00:00:00"/>
    <x v="3"/>
    <x v="20"/>
    <s v="PROD013"/>
    <n v="5"/>
    <n v="2011.45"/>
    <x v="1"/>
    <x v="0"/>
    <d v="2023-08-05T00:00:00"/>
    <x v="7"/>
  </r>
  <r>
    <s v="ORD0025"/>
    <d v="2024-02-04T00:00:00"/>
    <x v="4"/>
    <x v="21"/>
    <s v="PROD032"/>
    <n v="1"/>
    <n v="39.869999999999997"/>
    <x v="0"/>
    <x v="2"/>
    <d v="2023-02-10T00:00:00"/>
    <x v="1"/>
  </r>
  <r>
    <s v="ORD0026"/>
    <d v="2024-01-30T00:00:00"/>
    <x v="0"/>
    <x v="9"/>
    <s v="PROD016"/>
    <n v="3"/>
    <n v="650.16"/>
    <x v="2"/>
    <x v="3"/>
    <d v="2023-12-26T00:00:00"/>
    <x v="6"/>
  </r>
  <r>
    <s v="ORD0027"/>
    <d v="2024-05-21T00:00:00"/>
    <x v="2"/>
    <x v="22"/>
    <s v="PROD020"/>
    <n v="1"/>
    <n v="419.65"/>
    <x v="0"/>
    <x v="1"/>
    <d v="2023-02-27T00:00:00"/>
    <x v="1"/>
  </r>
  <r>
    <s v="ORD0028"/>
    <d v="2024-03-10T00:00:00"/>
    <x v="3"/>
    <x v="23"/>
    <s v="PROD032"/>
    <n v="2"/>
    <n v="79.739999999999995"/>
    <x v="0"/>
    <x v="4"/>
    <d v="2023-12-02T00:00:00"/>
    <x v="6"/>
  </r>
  <r>
    <s v="ORD0029"/>
    <d v="2024-06-03T00:00:00"/>
    <x v="1"/>
    <x v="24"/>
    <s v="PROD007"/>
    <n v="3"/>
    <n v="309.89999999999998"/>
    <x v="3"/>
    <x v="3"/>
    <d v="2023-02-10T00:00:00"/>
    <x v="1"/>
  </r>
  <r>
    <s v="ORD0030"/>
    <d v="2024-03-28T00:00:00"/>
    <x v="3"/>
    <x v="25"/>
    <s v="PROD010"/>
    <n v="2"/>
    <n v="866.56"/>
    <x v="3"/>
    <x v="5"/>
    <d v="2023-09-06T00:00:00"/>
    <x v="10"/>
  </r>
  <r>
    <s v="ORD0031"/>
    <d v="2024-06-24T00:00:00"/>
    <x v="1"/>
    <x v="26"/>
    <s v="PROD019"/>
    <n v="2"/>
    <n v="115.96"/>
    <x v="0"/>
    <x v="4"/>
    <d v="2023-08-21T00:00:00"/>
    <x v="7"/>
  </r>
  <r>
    <s v="ORD0032"/>
    <d v="2024-05-09T00:00:00"/>
    <x v="2"/>
    <x v="27"/>
    <s v="PROD022"/>
    <n v="3"/>
    <n v="274.47000000000003"/>
    <x v="2"/>
    <x v="4"/>
    <d v="2023-07-11T00:00:00"/>
    <x v="11"/>
  </r>
  <r>
    <s v="ORD0033"/>
    <d v="2024-03-05T00:00:00"/>
    <x v="3"/>
    <x v="28"/>
    <s v="PROD033"/>
    <n v="4"/>
    <n v="152.04"/>
    <x v="1"/>
    <x v="4"/>
    <d v="2023-12-27T00:00:00"/>
    <x v="6"/>
  </r>
  <r>
    <s v="ORD0034"/>
    <d v="2024-01-24T00:00:00"/>
    <x v="0"/>
    <x v="29"/>
    <s v="PROD028"/>
    <n v="1"/>
    <n v="334.32"/>
    <x v="0"/>
    <x v="5"/>
    <d v="2023-05-21T00:00:00"/>
    <x v="5"/>
  </r>
  <r>
    <s v="ORD0035"/>
    <d v="2024-03-11T00:00:00"/>
    <x v="3"/>
    <x v="30"/>
    <s v="PROD005"/>
    <n v="4"/>
    <n v="1169.3599999999999"/>
    <x v="0"/>
    <x v="0"/>
    <d v="2023-06-15T00:00:00"/>
    <x v="3"/>
  </r>
  <r>
    <s v="ORD0036"/>
    <d v="2024-01-01T00:00:00"/>
    <x v="0"/>
    <x v="31"/>
    <s v="PROD029"/>
    <n v="1"/>
    <n v="85.85"/>
    <x v="3"/>
    <x v="2"/>
    <d v="2023-07-15T00:00:00"/>
    <x v="11"/>
  </r>
  <r>
    <s v="ORD0037"/>
    <d v="2024-02-03T00:00:00"/>
    <x v="4"/>
    <x v="32"/>
    <s v="PROD013"/>
    <n v="3"/>
    <n v="1206.8699999999999"/>
    <x v="1"/>
    <x v="5"/>
    <d v="2023-09-30T00:00:00"/>
    <x v="10"/>
  </r>
  <r>
    <s v="ORD0038"/>
    <d v="2024-02-11T00:00:00"/>
    <x v="4"/>
    <x v="33"/>
    <s v="PROD014"/>
    <n v="3"/>
    <n v="395.52"/>
    <x v="4"/>
    <x v="2"/>
    <d v="2023-04-23T00:00:00"/>
    <x v="9"/>
  </r>
  <r>
    <s v="ORD0039"/>
    <d v="2024-05-21T00:00:00"/>
    <x v="2"/>
    <x v="17"/>
    <s v="PROD007"/>
    <n v="4"/>
    <n v="413.2"/>
    <x v="3"/>
    <x v="5"/>
    <d v="2023-05-15T00:00:00"/>
    <x v="5"/>
  </r>
  <r>
    <s v="ORD0040"/>
    <d v="2024-05-23T00:00:00"/>
    <x v="2"/>
    <x v="34"/>
    <s v="PROD029"/>
    <n v="4"/>
    <n v="343.4"/>
    <x v="3"/>
    <x v="3"/>
    <d v="2023-08-11T00:00:00"/>
    <x v="7"/>
  </r>
  <r>
    <s v="ORD0041"/>
    <d v="2024-01-29T00:00:00"/>
    <x v="0"/>
    <x v="25"/>
    <s v="PROD026"/>
    <n v="1"/>
    <n v="139.94999999999999"/>
    <x v="3"/>
    <x v="5"/>
    <d v="2023-09-06T00:00:00"/>
    <x v="10"/>
  </r>
  <r>
    <s v="ORD0042"/>
    <d v="2024-06-25T00:00:00"/>
    <x v="1"/>
    <x v="35"/>
    <s v="PROD017"/>
    <n v="1"/>
    <n v="236.69"/>
    <x v="1"/>
    <x v="4"/>
    <d v="2023-03-07T00:00:00"/>
    <x v="4"/>
  </r>
  <r>
    <s v="ORD0043"/>
    <d v="2024-05-19T00:00:00"/>
    <x v="2"/>
    <x v="36"/>
    <s v="PROD036"/>
    <n v="2"/>
    <n v="98.5"/>
    <x v="0"/>
    <x v="1"/>
    <d v="2023-06-02T00:00:00"/>
    <x v="3"/>
  </r>
  <r>
    <s v="ORD0044"/>
    <d v="2024-04-04T00:00:00"/>
    <x v="5"/>
    <x v="17"/>
    <s v="PROD028"/>
    <n v="1"/>
    <n v="334.32"/>
    <x v="0"/>
    <x v="5"/>
    <d v="2023-05-15T00:00:00"/>
    <x v="5"/>
  </r>
  <r>
    <s v="ORD0045"/>
    <d v="2024-05-21T00:00:00"/>
    <x v="2"/>
    <x v="37"/>
    <s v="PROD015"/>
    <n v="5"/>
    <n v="1363.9"/>
    <x v="2"/>
    <x v="4"/>
    <d v="2023-05-16T00:00:00"/>
    <x v="5"/>
  </r>
  <r>
    <s v="ORD0046"/>
    <d v="2024-04-20T00:00:00"/>
    <x v="5"/>
    <x v="38"/>
    <s v="PROD018"/>
    <n v="2"/>
    <n v="454.26"/>
    <x v="4"/>
    <x v="1"/>
    <d v="2023-06-16T00:00:00"/>
    <x v="3"/>
  </r>
  <r>
    <s v="ORD0047"/>
    <d v="2024-01-11T00:00:00"/>
    <x v="0"/>
    <x v="39"/>
    <s v="PROD005"/>
    <n v="2"/>
    <n v="584.67999999999995"/>
    <x v="0"/>
    <x v="4"/>
    <d v="2023-10-29T00:00:00"/>
    <x v="0"/>
  </r>
  <r>
    <s v="ORD0048"/>
    <d v="2024-04-03T00:00:00"/>
    <x v="5"/>
    <x v="22"/>
    <s v="PROD022"/>
    <n v="3"/>
    <n v="274.47000000000003"/>
    <x v="2"/>
    <x v="1"/>
    <d v="2023-02-27T00:00:00"/>
    <x v="1"/>
  </r>
  <r>
    <s v="ORD0049"/>
    <d v="2024-04-01T00:00:00"/>
    <x v="5"/>
    <x v="2"/>
    <s v="PROD024"/>
    <n v="1"/>
    <n v="452.2"/>
    <x v="3"/>
    <x v="0"/>
    <d v="2023-01-01T00:00:00"/>
    <x v="2"/>
  </r>
  <r>
    <s v="ORD0050"/>
    <d v="2024-06-23T00:00:00"/>
    <x v="1"/>
    <x v="40"/>
    <s v="PROD031"/>
    <n v="2"/>
    <n v="587.6"/>
    <x v="4"/>
    <x v="5"/>
    <d v="2023-05-04T00:00:00"/>
    <x v="5"/>
  </r>
  <r>
    <s v="ORD0051"/>
    <d v="2024-06-19T00:00:00"/>
    <x v="1"/>
    <x v="6"/>
    <s v="PROD035"/>
    <n v="2"/>
    <n v="174.28"/>
    <x v="0"/>
    <x v="4"/>
    <d v="2023-05-07T00:00:00"/>
    <x v="5"/>
  </r>
  <r>
    <s v="ORD0052"/>
    <d v="2024-03-31T00:00:00"/>
    <x v="3"/>
    <x v="6"/>
    <s v="PROD012"/>
    <n v="1"/>
    <n v="39.700000000000003"/>
    <x v="4"/>
    <x v="4"/>
    <d v="2023-05-07T00:00:00"/>
    <x v="5"/>
  </r>
  <r>
    <s v="ORD0053"/>
    <d v="2024-04-14T00:00:00"/>
    <x v="5"/>
    <x v="41"/>
    <s v="PROD010"/>
    <n v="5"/>
    <n v="2166.4"/>
    <x v="3"/>
    <x v="1"/>
    <d v="2023-11-28T00:00:00"/>
    <x v="8"/>
  </r>
  <r>
    <s v="ORD0054"/>
    <d v="2024-02-09T00:00:00"/>
    <x v="4"/>
    <x v="42"/>
    <s v="PROD030"/>
    <n v="5"/>
    <n v="583.35"/>
    <x v="1"/>
    <x v="0"/>
    <d v="2023-02-24T00:00:00"/>
    <x v="1"/>
  </r>
  <r>
    <s v="ORD0055"/>
    <d v="2024-02-11T00:00:00"/>
    <x v="4"/>
    <x v="43"/>
    <s v="PROD003"/>
    <n v="2"/>
    <n v="675.6"/>
    <x v="1"/>
    <x v="0"/>
    <d v="2023-04-02T00:00:00"/>
    <x v="9"/>
  </r>
  <r>
    <s v="ORD0056"/>
    <d v="2024-04-15T00:00:00"/>
    <x v="5"/>
    <x v="10"/>
    <s v="PROD027"/>
    <n v="2"/>
    <n v="299.54000000000002"/>
    <x v="3"/>
    <x v="3"/>
    <d v="2023-08-13T00:00:00"/>
    <x v="7"/>
  </r>
  <r>
    <s v="ORD0057"/>
    <d v="2024-02-15T00:00:00"/>
    <x v="4"/>
    <x v="44"/>
    <s v="PROD001"/>
    <n v="1"/>
    <n v="431.22"/>
    <x v="4"/>
    <x v="1"/>
    <d v="2023-10-07T00:00:00"/>
    <x v="0"/>
  </r>
  <r>
    <s v="ORD0058"/>
    <d v="2024-04-15T00:00:00"/>
    <x v="5"/>
    <x v="27"/>
    <s v="PROD013"/>
    <n v="3"/>
    <n v="1206.8699999999999"/>
    <x v="1"/>
    <x v="4"/>
    <d v="2023-07-11T00:00:00"/>
    <x v="11"/>
  </r>
  <r>
    <s v="ORD0059"/>
    <d v="2024-03-09T00:00:00"/>
    <x v="3"/>
    <x v="45"/>
    <s v="PROD016"/>
    <n v="2"/>
    <n v="433.44"/>
    <x v="2"/>
    <x v="3"/>
    <d v="2023-10-23T00:00:00"/>
    <x v="0"/>
  </r>
  <r>
    <s v="ORD0060"/>
    <d v="2024-06-28T00:00:00"/>
    <x v="1"/>
    <x v="46"/>
    <s v="PROD024"/>
    <n v="2"/>
    <n v="904.4"/>
    <x v="3"/>
    <x v="1"/>
    <d v="2023-09-01T00:00:00"/>
    <x v="10"/>
  </r>
  <r>
    <s v="ORD0061"/>
    <d v="2024-04-07T00:00:00"/>
    <x v="5"/>
    <x v="47"/>
    <s v="PROD010"/>
    <n v="1"/>
    <n v="433.28"/>
    <x v="3"/>
    <x v="0"/>
    <d v="2023-05-09T00:00:00"/>
    <x v="5"/>
  </r>
  <r>
    <s v="ORD0062"/>
    <d v="2024-04-30T00:00:00"/>
    <x v="5"/>
    <x v="48"/>
    <s v="PROD008"/>
    <n v="1"/>
    <n v="332.9"/>
    <x v="4"/>
    <x v="4"/>
    <d v="2023-03-12T00:00:00"/>
    <x v="4"/>
  </r>
  <r>
    <s v="ORD0063"/>
    <d v="2024-02-21T00:00:00"/>
    <x v="4"/>
    <x v="35"/>
    <s v="PROD011"/>
    <n v="2"/>
    <n v="679.9"/>
    <x v="4"/>
    <x v="4"/>
    <d v="2023-03-07T00:00:00"/>
    <x v="4"/>
  </r>
  <r>
    <s v="ORD0064"/>
    <d v="2024-03-30T00:00:00"/>
    <x v="3"/>
    <x v="49"/>
    <s v="PROD012"/>
    <n v="4"/>
    <n v="158.80000000000001"/>
    <x v="4"/>
    <x v="4"/>
    <d v="2023-11-29T00:00:00"/>
    <x v="8"/>
  </r>
  <r>
    <s v="ORD0065"/>
    <d v="2024-02-28T00:00:00"/>
    <x v="4"/>
    <x v="2"/>
    <s v="PROD038"/>
    <n v="3"/>
    <n v="1022.55"/>
    <x v="4"/>
    <x v="0"/>
    <d v="2023-01-01T00:00:00"/>
    <x v="2"/>
  </r>
  <r>
    <s v="ORD0066"/>
    <d v="2024-01-07T00:00:00"/>
    <x v="0"/>
    <x v="29"/>
    <s v="PROD022"/>
    <n v="2"/>
    <n v="182.98"/>
    <x v="2"/>
    <x v="5"/>
    <d v="2023-05-21T00:00:00"/>
    <x v="5"/>
  </r>
  <r>
    <s v="ORD0067"/>
    <d v="2024-04-12T00:00:00"/>
    <x v="5"/>
    <x v="10"/>
    <s v="PROD011"/>
    <n v="2"/>
    <n v="679.9"/>
    <x v="4"/>
    <x v="3"/>
    <d v="2023-08-13T00:00:00"/>
    <x v="7"/>
  </r>
  <r>
    <s v="ORD0068"/>
    <d v="2024-03-12T00:00:00"/>
    <x v="3"/>
    <x v="15"/>
    <s v="PROD017"/>
    <n v="3"/>
    <n v="710.07"/>
    <x v="1"/>
    <x v="3"/>
    <d v="2023-02-27T00:00:00"/>
    <x v="1"/>
  </r>
  <r>
    <s v="ORD0069"/>
    <d v="2024-03-12T00:00:00"/>
    <x v="3"/>
    <x v="35"/>
    <s v="PROD031"/>
    <n v="1"/>
    <n v="293.8"/>
    <x v="4"/>
    <x v="4"/>
    <d v="2023-03-07T00:00:00"/>
    <x v="4"/>
  </r>
  <r>
    <s v="ORD0070"/>
    <d v="2024-06-13T00:00:00"/>
    <x v="1"/>
    <x v="37"/>
    <s v="PROD022"/>
    <n v="3"/>
    <n v="274.47000000000003"/>
    <x v="2"/>
    <x v="4"/>
    <d v="2023-05-16T00:00:00"/>
    <x v="5"/>
  </r>
  <r>
    <s v="ORD0071"/>
    <d v="2024-04-12T00:00:00"/>
    <x v="5"/>
    <x v="50"/>
    <s v="PROD037"/>
    <n v="5"/>
    <n v="217.9"/>
    <x v="2"/>
    <x v="3"/>
    <d v="2023-11-25T00:00:00"/>
    <x v="8"/>
  </r>
  <r>
    <s v="ORD0072"/>
    <d v="2024-03-25T00:00:00"/>
    <x v="3"/>
    <x v="0"/>
    <s v="PROD024"/>
    <n v="5"/>
    <n v="2261"/>
    <x v="3"/>
    <x v="0"/>
    <d v="2023-10-11T00:00:00"/>
    <x v="0"/>
  </r>
  <r>
    <s v="ORD0073"/>
    <d v="2024-01-30T00:00:00"/>
    <x v="0"/>
    <x v="42"/>
    <s v="PROD038"/>
    <n v="1"/>
    <n v="340.85"/>
    <x v="4"/>
    <x v="0"/>
    <d v="2023-02-24T00:00:00"/>
    <x v="1"/>
  </r>
  <r>
    <s v="ORD0074"/>
    <d v="2024-02-15T00:00:00"/>
    <x v="4"/>
    <x v="2"/>
    <s v="PROD001"/>
    <n v="3"/>
    <n v="1293.6600000000001"/>
    <x v="4"/>
    <x v="0"/>
    <d v="2023-01-01T00:00:00"/>
    <x v="2"/>
  </r>
  <r>
    <s v="ORD0075"/>
    <d v="2024-03-08T00:00:00"/>
    <x v="3"/>
    <x v="44"/>
    <s v="PROD002"/>
    <n v="5"/>
    <n v="1309.7"/>
    <x v="4"/>
    <x v="1"/>
    <d v="2023-10-07T00:00:00"/>
    <x v="0"/>
  </r>
  <r>
    <s v="ORD0076"/>
    <d v="2024-01-28T00:00:00"/>
    <x v="0"/>
    <x v="51"/>
    <s v="PROD002"/>
    <n v="1"/>
    <n v="261.94"/>
    <x v="4"/>
    <x v="4"/>
    <d v="2023-02-02T00:00:00"/>
    <x v="1"/>
  </r>
  <r>
    <s v="ORD0077"/>
    <d v="2024-04-21T00:00:00"/>
    <x v="5"/>
    <x v="44"/>
    <s v="PROD018"/>
    <n v="5"/>
    <n v="1135.6500000000001"/>
    <x v="4"/>
    <x v="1"/>
    <d v="2023-10-07T00:00:00"/>
    <x v="0"/>
  </r>
  <r>
    <s v="ORD0078"/>
    <d v="2024-03-21T00:00:00"/>
    <x v="3"/>
    <x v="52"/>
    <s v="PROD007"/>
    <n v="3"/>
    <n v="309.89999999999998"/>
    <x v="3"/>
    <x v="4"/>
    <d v="2023-04-25T00:00:00"/>
    <x v="9"/>
  </r>
  <r>
    <s v="ORD0079"/>
    <d v="2024-06-04T00:00:00"/>
    <x v="1"/>
    <x v="53"/>
    <s v="PROD010"/>
    <n v="4"/>
    <n v="1733.12"/>
    <x v="3"/>
    <x v="0"/>
    <d v="2023-08-20T00:00:00"/>
    <x v="7"/>
  </r>
  <r>
    <s v="ORD0080"/>
    <d v="2024-01-30T00:00:00"/>
    <x v="0"/>
    <x v="54"/>
    <s v="PROD008"/>
    <n v="5"/>
    <n v="1664.5"/>
    <x v="4"/>
    <x v="0"/>
    <d v="2023-05-15T00:00:00"/>
    <x v="5"/>
  </r>
  <r>
    <s v="ORD0081"/>
    <d v="2024-05-27T00:00:00"/>
    <x v="2"/>
    <x v="55"/>
    <s v="PROD019"/>
    <n v="4"/>
    <n v="231.92"/>
    <x v="0"/>
    <x v="4"/>
    <d v="2023-02-21T00:00:00"/>
    <x v="1"/>
  </r>
  <r>
    <s v="ORD0082"/>
    <d v="2024-03-06T00:00:00"/>
    <x v="3"/>
    <x v="14"/>
    <s v="PROD009"/>
    <n v="2"/>
    <n v="435.1"/>
    <x v="1"/>
    <x v="0"/>
    <d v="2023-04-23T00:00:00"/>
    <x v="9"/>
  </r>
  <r>
    <s v="ORD0083"/>
    <d v="2024-04-21T00:00:00"/>
    <x v="5"/>
    <x v="56"/>
    <s v="PROD016"/>
    <n v="1"/>
    <n v="216.72"/>
    <x v="2"/>
    <x v="4"/>
    <d v="2024-01-01T00:00:00"/>
    <x v="12"/>
  </r>
  <r>
    <s v="ORD0084"/>
    <d v="2024-05-13T00:00:00"/>
    <x v="2"/>
    <x v="57"/>
    <s v="PROD001"/>
    <n v="1"/>
    <n v="431.22"/>
    <x v="4"/>
    <x v="0"/>
    <d v="2023-04-12T00:00:00"/>
    <x v="9"/>
  </r>
  <r>
    <s v="ORD0085"/>
    <d v="2024-06-24T00:00:00"/>
    <x v="1"/>
    <x v="17"/>
    <s v="PROD001"/>
    <n v="5"/>
    <n v="2156.1"/>
    <x v="4"/>
    <x v="5"/>
    <d v="2023-05-15T00:00:00"/>
    <x v="5"/>
  </r>
  <r>
    <s v="ORD0086"/>
    <d v="2024-04-03T00:00:00"/>
    <x v="5"/>
    <x v="58"/>
    <s v="PROD014"/>
    <n v="2"/>
    <n v="263.68"/>
    <x v="4"/>
    <x v="1"/>
    <d v="2023-09-17T00:00:00"/>
    <x v="10"/>
  </r>
  <r>
    <s v="ORD0087"/>
    <d v="2024-01-18T00:00:00"/>
    <x v="0"/>
    <x v="3"/>
    <s v="PROD038"/>
    <n v="4"/>
    <n v="1363.4"/>
    <x v="4"/>
    <x v="0"/>
    <d v="2023-02-10T00:00:00"/>
    <x v="1"/>
  </r>
  <r>
    <s v="ORD0088"/>
    <d v="2024-06-08T00:00:00"/>
    <x v="1"/>
    <x v="59"/>
    <s v="PROD010"/>
    <n v="3"/>
    <n v="1299.8399999999999"/>
    <x v="3"/>
    <x v="5"/>
    <d v="2023-07-05T00:00:00"/>
    <x v="11"/>
  </r>
  <r>
    <s v="ORD0089"/>
    <d v="2024-06-18T00:00:00"/>
    <x v="1"/>
    <x v="13"/>
    <s v="PROD016"/>
    <n v="3"/>
    <n v="650.16"/>
    <x v="2"/>
    <x v="5"/>
    <d v="2023-11-08T00:00:00"/>
    <x v="8"/>
  </r>
  <r>
    <s v="ORD0090"/>
    <d v="2024-03-17T00:00:00"/>
    <x v="3"/>
    <x v="5"/>
    <s v="PROD007"/>
    <n v="1"/>
    <n v="103.3"/>
    <x v="3"/>
    <x v="3"/>
    <d v="2023-03-25T00:00:00"/>
    <x v="4"/>
  </r>
  <r>
    <s v="ORD0091"/>
    <d v="2024-03-20T00:00:00"/>
    <x v="3"/>
    <x v="18"/>
    <s v="PROD012"/>
    <n v="5"/>
    <n v="198.5"/>
    <x v="4"/>
    <x v="0"/>
    <d v="2023-03-26T00:00:00"/>
    <x v="4"/>
  </r>
  <r>
    <s v="ORD0092"/>
    <d v="2024-03-24T00:00:00"/>
    <x v="3"/>
    <x v="19"/>
    <s v="PROD005"/>
    <n v="4"/>
    <n v="1169.3599999999999"/>
    <x v="0"/>
    <x v="1"/>
    <d v="2023-10-15T00:00:00"/>
    <x v="0"/>
  </r>
  <r>
    <s v="ORD0093"/>
    <d v="2024-06-27T00:00:00"/>
    <x v="1"/>
    <x v="18"/>
    <s v="PROD014"/>
    <n v="4"/>
    <n v="527.36"/>
    <x v="4"/>
    <x v="0"/>
    <d v="2023-03-26T00:00:00"/>
    <x v="4"/>
  </r>
  <r>
    <s v="ORD0094"/>
    <d v="2024-05-21T00:00:00"/>
    <x v="2"/>
    <x v="60"/>
    <s v="PROD023"/>
    <n v="3"/>
    <n v="737.61"/>
    <x v="3"/>
    <x v="5"/>
    <d v="2023-01-24T00:00:00"/>
    <x v="2"/>
  </r>
  <r>
    <s v="ORD0095"/>
    <d v="2024-02-19T00:00:00"/>
    <x v="4"/>
    <x v="61"/>
    <s v="PROD010"/>
    <n v="2"/>
    <n v="866.56"/>
    <x v="3"/>
    <x v="5"/>
    <d v="2023-03-20T00:00:00"/>
    <x v="4"/>
  </r>
  <r>
    <s v="ORD0096"/>
    <d v="2024-06-19T00:00:00"/>
    <x v="1"/>
    <x v="56"/>
    <s v="PROD023"/>
    <n v="4"/>
    <n v="983.48"/>
    <x v="3"/>
    <x v="4"/>
    <d v="2024-01-01T00:00:00"/>
    <x v="12"/>
  </r>
  <r>
    <s v="ORD0097"/>
    <d v="2024-06-22T00:00:00"/>
    <x v="1"/>
    <x v="37"/>
    <s v="PROD036"/>
    <n v="4"/>
    <n v="197"/>
    <x v="0"/>
    <x v="4"/>
    <d v="2023-05-16T00:00:00"/>
    <x v="5"/>
  </r>
  <r>
    <s v="ORD0098"/>
    <d v="2024-06-06T00:00:00"/>
    <x v="1"/>
    <x v="62"/>
    <s v="PROD031"/>
    <n v="2"/>
    <n v="587.6"/>
    <x v="4"/>
    <x v="1"/>
    <d v="2023-12-19T00:00:00"/>
    <x v="6"/>
  </r>
  <r>
    <s v="ORD0099"/>
    <d v="2024-03-18T00:00:00"/>
    <x v="3"/>
    <x v="44"/>
    <s v="PROD008"/>
    <n v="5"/>
    <n v="1664.5"/>
    <x v="4"/>
    <x v="1"/>
    <d v="2023-10-07T00:00:00"/>
    <x v="0"/>
  </r>
  <r>
    <s v="ORD0100"/>
    <d v="2024-05-20T00:00:00"/>
    <x v="2"/>
    <x v="26"/>
    <s v="PROD030"/>
    <n v="4"/>
    <n v="466.68"/>
    <x v="1"/>
    <x v="4"/>
    <d v="2023-08-21T00:00:00"/>
    <x v="7"/>
  </r>
  <r>
    <s v="ORD0101"/>
    <d v="2024-03-18T00:00:00"/>
    <x v="3"/>
    <x v="63"/>
    <s v="PROD031"/>
    <n v="1"/>
    <n v="293.8"/>
    <x v="4"/>
    <x v="0"/>
    <d v="2023-11-05T00:00:00"/>
    <x v="8"/>
  </r>
  <r>
    <s v="ORD0102"/>
    <d v="2024-02-23T00:00:00"/>
    <x v="4"/>
    <x v="33"/>
    <s v="PROD020"/>
    <n v="3"/>
    <n v="1258.95"/>
    <x v="0"/>
    <x v="2"/>
    <d v="2023-04-23T00:00:00"/>
    <x v="9"/>
  </r>
  <r>
    <s v="ORD0103"/>
    <d v="2024-05-28T00:00:00"/>
    <x v="2"/>
    <x v="64"/>
    <s v="PROD017"/>
    <n v="4"/>
    <n v="946.76"/>
    <x v="1"/>
    <x v="1"/>
    <d v="2023-10-27T00:00:00"/>
    <x v="0"/>
  </r>
  <r>
    <s v="ORD0104"/>
    <d v="2024-06-16T00:00:00"/>
    <x v="1"/>
    <x v="65"/>
    <s v="PROD011"/>
    <n v="5"/>
    <n v="1699.75"/>
    <x v="4"/>
    <x v="2"/>
    <d v="2023-05-23T00:00:00"/>
    <x v="5"/>
  </r>
  <r>
    <s v="ORD0105"/>
    <d v="2024-04-29T00:00:00"/>
    <x v="5"/>
    <x v="33"/>
    <s v="PROD014"/>
    <n v="3"/>
    <n v="395.52"/>
    <x v="4"/>
    <x v="2"/>
    <d v="2023-04-23T00:00:00"/>
    <x v="9"/>
  </r>
  <r>
    <s v="ORD0106"/>
    <d v="2024-04-23T00:00:00"/>
    <x v="5"/>
    <x v="66"/>
    <s v="PROD022"/>
    <n v="4"/>
    <n v="365.96"/>
    <x v="2"/>
    <x v="4"/>
    <d v="2023-08-25T00:00:00"/>
    <x v="7"/>
  </r>
  <r>
    <s v="ORD0107"/>
    <d v="2024-05-10T00:00:00"/>
    <x v="2"/>
    <x v="7"/>
    <s v="PROD040"/>
    <n v="2"/>
    <n v="261.3"/>
    <x v="0"/>
    <x v="5"/>
    <d v="2023-10-30T00:00:00"/>
    <x v="0"/>
  </r>
  <r>
    <s v="ORD0108"/>
    <d v="2024-02-13T00:00:00"/>
    <x v="4"/>
    <x v="1"/>
    <s v="PROD016"/>
    <n v="4"/>
    <n v="866.88"/>
    <x v="2"/>
    <x v="1"/>
    <d v="2023-02-28T00:00:00"/>
    <x v="1"/>
  </r>
  <r>
    <s v="ORD0109"/>
    <d v="2024-03-13T00:00:00"/>
    <x v="3"/>
    <x v="67"/>
    <s v="PROD015"/>
    <n v="1"/>
    <n v="272.77999999999997"/>
    <x v="2"/>
    <x v="2"/>
    <d v="2023-10-26T00:00:00"/>
    <x v="0"/>
  </r>
  <r>
    <s v="ORD0110"/>
    <d v="2024-06-18T00:00:00"/>
    <x v="1"/>
    <x v="57"/>
    <s v="PROD023"/>
    <n v="5"/>
    <n v="1229.3499999999999"/>
    <x v="3"/>
    <x v="0"/>
    <d v="2023-04-12T00:00:00"/>
    <x v="9"/>
  </r>
  <r>
    <s v="ORD0111"/>
    <d v="2024-03-26T00:00:00"/>
    <x v="3"/>
    <x v="37"/>
    <s v="PROD013"/>
    <n v="5"/>
    <n v="2011.45"/>
    <x v="1"/>
    <x v="4"/>
    <d v="2023-05-16T00:00:00"/>
    <x v="5"/>
  </r>
  <r>
    <s v="ORD0112"/>
    <d v="2024-03-01T00:00:00"/>
    <x v="3"/>
    <x v="68"/>
    <s v="PROD024"/>
    <n v="1"/>
    <n v="452.2"/>
    <x v="3"/>
    <x v="1"/>
    <d v="2023-12-20T00:00:00"/>
    <x v="6"/>
  </r>
  <r>
    <s v="ORD0113"/>
    <d v="2024-02-27T00:00:00"/>
    <x v="4"/>
    <x v="59"/>
    <s v="PROD024"/>
    <n v="3"/>
    <n v="1356.6"/>
    <x v="3"/>
    <x v="5"/>
    <d v="2023-07-05T00:00:00"/>
    <x v="11"/>
  </r>
  <r>
    <s v="ORD0114"/>
    <d v="2024-02-07T00:00:00"/>
    <x v="4"/>
    <x v="61"/>
    <s v="PROD021"/>
    <n v="2"/>
    <n v="927.84"/>
    <x v="4"/>
    <x v="5"/>
    <d v="2023-03-20T00:00:00"/>
    <x v="4"/>
  </r>
  <r>
    <s v="ORD0115"/>
    <d v="2024-01-12T00:00:00"/>
    <x v="0"/>
    <x v="43"/>
    <s v="PROD014"/>
    <n v="1"/>
    <n v="131.84"/>
    <x v="4"/>
    <x v="0"/>
    <d v="2023-04-02T00:00:00"/>
    <x v="9"/>
  </r>
  <r>
    <s v="ORD0116"/>
    <d v="2024-05-01T00:00:00"/>
    <x v="2"/>
    <x v="40"/>
    <s v="PROD019"/>
    <n v="2"/>
    <n v="115.96"/>
    <x v="0"/>
    <x v="5"/>
    <d v="2023-05-04T00:00:00"/>
    <x v="5"/>
  </r>
  <r>
    <s v="ORD0117"/>
    <d v="2024-01-19T00:00:00"/>
    <x v="0"/>
    <x v="69"/>
    <s v="PROD003"/>
    <n v="5"/>
    <n v="1689"/>
    <x v="1"/>
    <x v="4"/>
    <d v="2023-04-30T00:00:00"/>
    <x v="9"/>
  </r>
  <r>
    <s v="ORD0118"/>
    <d v="2024-04-16T00:00:00"/>
    <x v="5"/>
    <x v="32"/>
    <s v="PROD034"/>
    <n v="4"/>
    <n v="974.52"/>
    <x v="0"/>
    <x v="5"/>
    <d v="2023-09-30T00:00:00"/>
    <x v="10"/>
  </r>
  <r>
    <s v="ORD0119"/>
    <d v="2024-02-19T00:00:00"/>
    <x v="4"/>
    <x v="70"/>
    <s v="PROD016"/>
    <n v="5"/>
    <n v="1083.5999999999999"/>
    <x v="2"/>
    <x v="1"/>
    <d v="2023-01-31T00:00:00"/>
    <x v="2"/>
  </r>
  <r>
    <s v="ORD0120"/>
    <d v="2024-05-06T00:00:00"/>
    <x v="2"/>
    <x v="71"/>
    <s v="PROD012"/>
    <n v="4"/>
    <n v="158.80000000000001"/>
    <x v="4"/>
    <x v="2"/>
    <d v="2023-05-19T00:00:00"/>
    <x v="5"/>
  </r>
  <r>
    <s v="ORD0121"/>
    <d v="2024-03-03T00:00:00"/>
    <x v="3"/>
    <x v="39"/>
    <s v="PROD008"/>
    <n v="4"/>
    <n v="1331.6"/>
    <x v="4"/>
    <x v="4"/>
    <d v="2023-10-29T00:00:00"/>
    <x v="0"/>
  </r>
  <r>
    <s v="ORD0122"/>
    <d v="2024-06-16T00:00:00"/>
    <x v="1"/>
    <x v="72"/>
    <s v="PROD032"/>
    <n v="2"/>
    <n v="79.739999999999995"/>
    <x v="0"/>
    <x v="4"/>
    <d v="2023-10-04T00:00:00"/>
    <x v="0"/>
  </r>
  <r>
    <s v="ORD0123"/>
    <d v="2024-01-28T00:00:00"/>
    <x v="0"/>
    <x v="14"/>
    <s v="PROD034"/>
    <n v="1"/>
    <n v="243.63"/>
    <x v="0"/>
    <x v="0"/>
    <d v="2023-04-23T00:00:00"/>
    <x v="9"/>
  </r>
  <r>
    <s v="ORD0124"/>
    <d v="2024-02-26T00:00:00"/>
    <x v="4"/>
    <x v="73"/>
    <s v="PROD001"/>
    <n v="4"/>
    <n v="1724.88"/>
    <x v="4"/>
    <x v="2"/>
    <d v="2023-10-29T00:00:00"/>
    <x v="0"/>
  </r>
  <r>
    <s v="ORD0125"/>
    <d v="2024-06-27T00:00:00"/>
    <x v="1"/>
    <x v="74"/>
    <s v="PROD016"/>
    <n v="2"/>
    <n v="433.44"/>
    <x v="2"/>
    <x v="1"/>
    <d v="2023-11-13T00:00:00"/>
    <x v="8"/>
  </r>
  <r>
    <s v="ORD0126"/>
    <d v="2024-04-28T00:00:00"/>
    <x v="5"/>
    <x v="75"/>
    <s v="PROD029"/>
    <n v="5"/>
    <n v="429.25"/>
    <x v="3"/>
    <x v="5"/>
    <d v="2023-02-17T00:00:00"/>
    <x v="1"/>
  </r>
  <r>
    <s v="ORD0127"/>
    <d v="2024-05-22T00:00:00"/>
    <x v="2"/>
    <x v="76"/>
    <s v="PROD031"/>
    <n v="1"/>
    <n v="293.8"/>
    <x v="4"/>
    <x v="3"/>
    <d v="2023-01-11T00:00:00"/>
    <x v="2"/>
  </r>
  <r>
    <s v="ORD0128"/>
    <d v="2024-02-01T00:00:00"/>
    <x v="4"/>
    <x v="77"/>
    <s v="PROD027"/>
    <n v="2"/>
    <n v="299.54000000000002"/>
    <x v="3"/>
    <x v="0"/>
    <d v="2023-03-05T00:00:00"/>
    <x v="4"/>
  </r>
  <r>
    <s v="ORD0129"/>
    <d v="2024-02-04T00:00:00"/>
    <x v="4"/>
    <x v="58"/>
    <s v="PROD001"/>
    <n v="4"/>
    <n v="1724.88"/>
    <x v="4"/>
    <x v="1"/>
    <d v="2023-09-17T00:00:00"/>
    <x v="10"/>
  </r>
  <r>
    <s v="ORD0130"/>
    <d v="2024-06-19T00:00:00"/>
    <x v="1"/>
    <x v="61"/>
    <s v="PROD036"/>
    <n v="4"/>
    <n v="197"/>
    <x v="0"/>
    <x v="5"/>
    <d v="2023-03-20T00:00:00"/>
    <x v="4"/>
  </r>
  <r>
    <s v="ORD0131"/>
    <d v="2024-05-23T00:00:00"/>
    <x v="2"/>
    <x v="55"/>
    <s v="PROD035"/>
    <n v="5"/>
    <n v="435.7"/>
    <x v="0"/>
    <x v="4"/>
    <d v="2023-02-21T00:00:00"/>
    <x v="1"/>
  </r>
  <r>
    <s v="ORD0132"/>
    <d v="2024-03-22T00:00:00"/>
    <x v="3"/>
    <x v="17"/>
    <s v="PROD016"/>
    <n v="5"/>
    <n v="1083.5999999999999"/>
    <x v="2"/>
    <x v="5"/>
    <d v="2023-05-15T00:00:00"/>
    <x v="5"/>
  </r>
  <r>
    <s v="ORD0133"/>
    <d v="2024-06-05T00:00:00"/>
    <x v="1"/>
    <x v="78"/>
    <s v="PROD009"/>
    <n v="4"/>
    <n v="870.2"/>
    <x v="1"/>
    <x v="1"/>
    <d v="2023-08-23T00:00:00"/>
    <x v="7"/>
  </r>
  <r>
    <s v="ORD0134"/>
    <d v="2024-04-19T00:00:00"/>
    <x v="5"/>
    <x v="23"/>
    <s v="PROD035"/>
    <n v="5"/>
    <n v="435.7"/>
    <x v="0"/>
    <x v="4"/>
    <d v="2023-12-02T00:00:00"/>
    <x v="6"/>
  </r>
  <r>
    <s v="ORD0135"/>
    <d v="2024-04-24T00:00:00"/>
    <x v="5"/>
    <x v="79"/>
    <s v="PROD030"/>
    <n v="5"/>
    <n v="583.35"/>
    <x v="1"/>
    <x v="0"/>
    <d v="2023-05-06T00:00:00"/>
    <x v="5"/>
  </r>
  <r>
    <s v="ORD0136"/>
    <d v="2024-05-01T00:00:00"/>
    <x v="2"/>
    <x v="38"/>
    <s v="PROD025"/>
    <n v="2"/>
    <n v="391.4"/>
    <x v="2"/>
    <x v="1"/>
    <d v="2023-06-16T00:00:00"/>
    <x v="3"/>
  </r>
  <r>
    <s v="ORD0137"/>
    <d v="2024-03-07T00:00:00"/>
    <x v="3"/>
    <x v="57"/>
    <s v="PROD018"/>
    <n v="4"/>
    <n v="908.52"/>
    <x v="4"/>
    <x v="0"/>
    <d v="2023-04-12T00:00:00"/>
    <x v="9"/>
  </r>
  <r>
    <s v="ORD0138"/>
    <d v="2024-06-12T00:00:00"/>
    <x v="1"/>
    <x v="34"/>
    <s v="PROD009"/>
    <n v="2"/>
    <n v="435.1"/>
    <x v="1"/>
    <x v="3"/>
    <d v="2023-08-11T00:00:00"/>
    <x v="7"/>
  </r>
  <r>
    <s v="ORD0139"/>
    <d v="2024-05-13T00:00:00"/>
    <x v="2"/>
    <x v="80"/>
    <s v="PROD013"/>
    <n v="3"/>
    <n v="1206.8699999999999"/>
    <x v="1"/>
    <x v="0"/>
    <d v="2023-09-10T00:00:00"/>
    <x v="10"/>
  </r>
  <r>
    <s v="ORD0140"/>
    <d v="2024-06-09T00:00:00"/>
    <x v="1"/>
    <x v="49"/>
    <s v="PROD034"/>
    <n v="4"/>
    <n v="974.52"/>
    <x v="0"/>
    <x v="4"/>
    <d v="2023-11-29T00:00:00"/>
    <x v="8"/>
  </r>
  <r>
    <s v="ORD0141"/>
    <d v="2024-03-11T00:00:00"/>
    <x v="3"/>
    <x v="31"/>
    <s v="PROD031"/>
    <n v="2"/>
    <n v="587.6"/>
    <x v="4"/>
    <x v="2"/>
    <d v="2023-07-15T00:00:00"/>
    <x v="11"/>
  </r>
  <r>
    <s v="ORD0142"/>
    <d v="2024-01-20T00:00:00"/>
    <x v="0"/>
    <x v="68"/>
    <s v="PROD024"/>
    <n v="4"/>
    <n v="1808.8"/>
    <x v="3"/>
    <x v="1"/>
    <d v="2023-12-20T00:00:00"/>
    <x v="6"/>
  </r>
  <r>
    <s v="ORD0143"/>
    <d v="2024-03-01T00:00:00"/>
    <x v="3"/>
    <x v="81"/>
    <s v="PROD017"/>
    <n v="3"/>
    <n v="710.07"/>
    <x v="1"/>
    <x v="4"/>
    <d v="2023-06-22T00:00:00"/>
    <x v="3"/>
  </r>
  <r>
    <s v="ORD0144"/>
    <d v="2024-03-26T00:00:00"/>
    <x v="3"/>
    <x v="45"/>
    <s v="PROD008"/>
    <n v="3"/>
    <n v="998.7"/>
    <x v="4"/>
    <x v="3"/>
    <d v="2023-10-23T00:00:00"/>
    <x v="0"/>
  </r>
  <r>
    <s v="ORD0145"/>
    <d v="2024-05-18T00:00:00"/>
    <x v="2"/>
    <x v="74"/>
    <s v="PROD008"/>
    <n v="3"/>
    <n v="998.7"/>
    <x v="4"/>
    <x v="1"/>
    <d v="2023-11-13T00:00:00"/>
    <x v="8"/>
  </r>
  <r>
    <s v="ORD0146"/>
    <d v="2024-02-05T00:00:00"/>
    <x v="4"/>
    <x v="80"/>
    <s v="PROD023"/>
    <n v="1"/>
    <n v="245.87"/>
    <x v="3"/>
    <x v="0"/>
    <d v="2023-09-10T00:00:00"/>
    <x v="10"/>
  </r>
  <r>
    <s v="ORD0147"/>
    <d v="2024-02-29T00:00:00"/>
    <x v="4"/>
    <x v="47"/>
    <s v="PROD034"/>
    <n v="2"/>
    <n v="487.26"/>
    <x v="0"/>
    <x v="0"/>
    <d v="2023-05-09T00:00:00"/>
    <x v="5"/>
  </r>
  <r>
    <s v="ORD0148"/>
    <d v="2024-06-26T00:00:00"/>
    <x v="1"/>
    <x v="68"/>
    <s v="PROD003"/>
    <n v="4"/>
    <n v="1351.2"/>
    <x v="1"/>
    <x v="1"/>
    <d v="2023-12-20T00:00:00"/>
    <x v="6"/>
  </r>
  <r>
    <s v="ORD0149"/>
    <d v="2024-06-29T00:00:00"/>
    <x v="1"/>
    <x v="22"/>
    <s v="PROD003"/>
    <n v="2"/>
    <n v="675.6"/>
    <x v="1"/>
    <x v="1"/>
    <d v="2023-02-27T00:00:00"/>
    <x v="1"/>
  </r>
  <r>
    <s v="ORD0150"/>
    <d v="2024-01-17T00:00:00"/>
    <x v="0"/>
    <x v="39"/>
    <s v="PROD006"/>
    <n v="2"/>
    <n v="788.92"/>
    <x v="2"/>
    <x v="4"/>
    <d v="2023-10-29T00:00:00"/>
    <x v="0"/>
  </r>
  <r>
    <s v="ORD0151"/>
    <d v="2024-04-14T00:00:00"/>
    <x v="5"/>
    <x v="82"/>
    <s v="PROD010"/>
    <n v="4"/>
    <n v="1733.12"/>
    <x v="3"/>
    <x v="0"/>
    <d v="2023-01-06T00:00:00"/>
    <x v="2"/>
  </r>
  <r>
    <s v="ORD0152"/>
    <d v="2024-05-18T00:00:00"/>
    <x v="2"/>
    <x v="83"/>
    <s v="PROD026"/>
    <n v="3"/>
    <n v="419.85"/>
    <x v="3"/>
    <x v="5"/>
    <d v="2023-10-15T00:00:00"/>
    <x v="0"/>
  </r>
  <r>
    <s v="ORD0153"/>
    <d v="2024-04-16T00:00:00"/>
    <x v="5"/>
    <x v="7"/>
    <s v="PROD036"/>
    <n v="4"/>
    <n v="197"/>
    <x v="0"/>
    <x v="5"/>
    <d v="2023-10-30T00:00:00"/>
    <x v="0"/>
  </r>
  <r>
    <s v="ORD0154"/>
    <d v="2024-02-22T00:00:00"/>
    <x v="4"/>
    <x v="84"/>
    <s v="PROD040"/>
    <n v="1"/>
    <n v="130.65"/>
    <x v="0"/>
    <x v="3"/>
    <d v="2023-03-21T00:00:00"/>
    <x v="4"/>
  </r>
  <r>
    <s v="ORD0155"/>
    <d v="2024-04-09T00:00:00"/>
    <x v="5"/>
    <x v="33"/>
    <s v="PROD027"/>
    <n v="4"/>
    <n v="599.08000000000004"/>
    <x v="3"/>
    <x v="2"/>
    <d v="2023-04-23T00:00:00"/>
    <x v="9"/>
  </r>
  <r>
    <s v="ORD0156"/>
    <d v="2024-06-27T00:00:00"/>
    <x v="1"/>
    <x v="62"/>
    <s v="PROD002"/>
    <n v="5"/>
    <n v="1309.7"/>
    <x v="4"/>
    <x v="1"/>
    <d v="2023-12-19T00:00:00"/>
    <x v="6"/>
  </r>
  <r>
    <s v="ORD0157"/>
    <d v="2024-05-27T00:00:00"/>
    <x v="2"/>
    <x v="7"/>
    <s v="PROD019"/>
    <n v="1"/>
    <n v="57.98"/>
    <x v="0"/>
    <x v="5"/>
    <d v="2023-10-30T00:00:00"/>
    <x v="0"/>
  </r>
  <r>
    <s v="ORD0158"/>
    <d v="2024-05-02T00:00:00"/>
    <x v="2"/>
    <x v="43"/>
    <s v="PROD033"/>
    <n v="4"/>
    <n v="152.04"/>
    <x v="1"/>
    <x v="0"/>
    <d v="2023-04-02T00:00:00"/>
    <x v="9"/>
  </r>
  <r>
    <s v="ORD0159"/>
    <d v="2024-03-31T00:00:00"/>
    <x v="3"/>
    <x v="85"/>
    <s v="PROD002"/>
    <n v="1"/>
    <n v="261.94"/>
    <x v="4"/>
    <x v="0"/>
    <d v="2023-02-02T00:00:00"/>
    <x v="1"/>
  </r>
  <r>
    <s v="ORD0160"/>
    <d v="2024-04-09T00:00:00"/>
    <x v="5"/>
    <x v="72"/>
    <s v="PROD019"/>
    <n v="3"/>
    <n v="173.94"/>
    <x v="0"/>
    <x v="4"/>
    <d v="2023-10-04T00:00:00"/>
    <x v="0"/>
  </r>
  <r>
    <s v="ORD0161"/>
    <d v="2024-05-17T00:00:00"/>
    <x v="2"/>
    <x v="62"/>
    <s v="PROD035"/>
    <n v="4"/>
    <n v="348.56"/>
    <x v="0"/>
    <x v="1"/>
    <d v="2023-12-19T00:00:00"/>
    <x v="6"/>
  </r>
  <r>
    <s v="ORD0162"/>
    <d v="2024-06-03T00:00:00"/>
    <x v="1"/>
    <x v="4"/>
    <s v="PROD013"/>
    <n v="5"/>
    <n v="2011.45"/>
    <x v="1"/>
    <x v="2"/>
    <d v="2023-06-24T00:00:00"/>
    <x v="3"/>
  </r>
  <r>
    <s v="ORD0163"/>
    <d v="2024-05-04T00:00:00"/>
    <x v="2"/>
    <x v="37"/>
    <s v="PROD030"/>
    <n v="2"/>
    <n v="233.34"/>
    <x v="1"/>
    <x v="4"/>
    <d v="2023-05-16T00:00:00"/>
    <x v="5"/>
  </r>
  <r>
    <s v="ORD0164"/>
    <d v="2024-03-10T00:00:00"/>
    <x v="3"/>
    <x v="86"/>
    <s v="PROD029"/>
    <n v="2"/>
    <n v="171.7"/>
    <x v="3"/>
    <x v="3"/>
    <d v="2023-01-04T00:00:00"/>
    <x v="2"/>
  </r>
  <r>
    <s v="ORD0165"/>
    <d v="2024-05-04T00:00:00"/>
    <x v="2"/>
    <x v="87"/>
    <s v="PROD028"/>
    <n v="4"/>
    <n v="1337.28"/>
    <x v="0"/>
    <x v="5"/>
    <d v="2023-05-07T00:00:00"/>
    <x v="5"/>
  </r>
  <r>
    <s v="ORD0166"/>
    <d v="2024-04-09T00:00:00"/>
    <x v="5"/>
    <x v="88"/>
    <s v="PROD015"/>
    <n v="1"/>
    <n v="272.77999999999997"/>
    <x v="2"/>
    <x v="4"/>
    <d v="2023-02-04T00:00:00"/>
    <x v="1"/>
  </r>
  <r>
    <s v="ORD0167"/>
    <d v="2024-06-20T00:00:00"/>
    <x v="1"/>
    <x v="67"/>
    <s v="PROD029"/>
    <n v="3"/>
    <n v="257.55"/>
    <x v="3"/>
    <x v="2"/>
    <d v="2023-10-26T00:00:00"/>
    <x v="0"/>
  </r>
  <r>
    <s v="ORD0168"/>
    <d v="2024-02-12T00:00:00"/>
    <x v="4"/>
    <x v="89"/>
    <s v="PROD030"/>
    <n v="4"/>
    <n v="466.68"/>
    <x v="1"/>
    <x v="3"/>
    <d v="2023-09-28T00:00:00"/>
    <x v="10"/>
  </r>
  <r>
    <s v="ORD0169"/>
    <d v="2024-02-02T00:00:00"/>
    <x v="4"/>
    <x v="45"/>
    <s v="PROD004"/>
    <n v="4"/>
    <n v="1096.8800000000001"/>
    <x v="2"/>
    <x v="3"/>
    <d v="2023-10-23T00:00:00"/>
    <x v="0"/>
  </r>
  <r>
    <s v="ORD0170"/>
    <d v="2024-05-16T00:00:00"/>
    <x v="2"/>
    <x v="2"/>
    <s v="PROD003"/>
    <n v="5"/>
    <n v="1689"/>
    <x v="1"/>
    <x v="0"/>
    <d v="2023-01-01T00:00:00"/>
    <x v="2"/>
  </r>
  <r>
    <s v="ORD0171"/>
    <d v="2024-04-10T00:00:00"/>
    <x v="5"/>
    <x v="90"/>
    <s v="PROD006"/>
    <n v="1"/>
    <n v="394.46"/>
    <x v="2"/>
    <x v="0"/>
    <d v="2023-08-28T00:00:00"/>
    <x v="7"/>
  </r>
  <r>
    <s v="ORD0172"/>
    <d v="2024-05-24T00:00:00"/>
    <x v="2"/>
    <x v="75"/>
    <s v="PROD010"/>
    <n v="5"/>
    <n v="2166.4"/>
    <x v="3"/>
    <x v="5"/>
    <d v="2023-02-17T00:00:00"/>
    <x v="1"/>
  </r>
  <r>
    <s v="ORD0173"/>
    <d v="2024-01-22T00:00:00"/>
    <x v="0"/>
    <x v="91"/>
    <s v="PROD020"/>
    <n v="1"/>
    <n v="419.65"/>
    <x v="0"/>
    <x v="3"/>
    <d v="2023-06-26T00:00:00"/>
    <x v="3"/>
  </r>
  <r>
    <s v="ORD0174"/>
    <d v="2024-02-04T00:00:00"/>
    <x v="4"/>
    <x v="92"/>
    <s v="PROD012"/>
    <n v="4"/>
    <n v="158.80000000000001"/>
    <x v="4"/>
    <x v="5"/>
    <d v="2023-04-28T00:00:00"/>
    <x v="9"/>
  </r>
  <r>
    <s v="ORD0175"/>
    <d v="2024-02-16T00:00:00"/>
    <x v="4"/>
    <x v="81"/>
    <s v="PROD024"/>
    <n v="4"/>
    <n v="1808.8"/>
    <x v="3"/>
    <x v="4"/>
    <d v="2023-06-22T00:00:00"/>
    <x v="3"/>
  </r>
  <r>
    <s v="ORD0176"/>
    <d v="2024-03-07T00:00:00"/>
    <x v="3"/>
    <x v="93"/>
    <s v="PROD029"/>
    <n v="1"/>
    <n v="85.85"/>
    <x v="3"/>
    <x v="2"/>
    <d v="2023-01-10T00:00:00"/>
    <x v="2"/>
  </r>
  <r>
    <s v="ORD0177"/>
    <d v="2024-03-24T00:00:00"/>
    <x v="3"/>
    <x v="37"/>
    <s v="PROD036"/>
    <n v="4"/>
    <n v="197"/>
    <x v="0"/>
    <x v="4"/>
    <d v="2023-05-16T00:00:00"/>
    <x v="5"/>
  </r>
  <r>
    <s v="ORD0178"/>
    <d v="2024-04-26T00:00:00"/>
    <x v="5"/>
    <x v="94"/>
    <s v="PROD005"/>
    <n v="2"/>
    <n v="584.67999999999995"/>
    <x v="0"/>
    <x v="5"/>
    <d v="2023-12-29T00:00:00"/>
    <x v="6"/>
  </r>
  <r>
    <s v="ORD0179"/>
    <d v="2024-03-27T00:00:00"/>
    <x v="3"/>
    <x v="51"/>
    <s v="PROD012"/>
    <n v="3"/>
    <n v="119.1"/>
    <x v="4"/>
    <x v="4"/>
    <d v="2023-02-02T00:00:00"/>
    <x v="1"/>
  </r>
  <r>
    <s v="ORD0180"/>
    <d v="2024-03-12T00:00:00"/>
    <x v="3"/>
    <x v="63"/>
    <s v="PROD005"/>
    <n v="4"/>
    <n v="1169.3599999999999"/>
    <x v="0"/>
    <x v="0"/>
    <d v="2023-11-05T00:00:00"/>
    <x v="8"/>
  </r>
  <r>
    <s v="ORD0181"/>
    <d v="2024-03-05T00:00:00"/>
    <x v="3"/>
    <x v="48"/>
    <s v="PROD020"/>
    <n v="4"/>
    <n v="1678.6"/>
    <x v="0"/>
    <x v="4"/>
    <d v="2023-03-12T00:00:00"/>
    <x v="4"/>
  </r>
  <r>
    <s v="ORD0182"/>
    <d v="2024-04-30T00:00:00"/>
    <x v="5"/>
    <x v="95"/>
    <s v="PROD009"/>
    <n v="1"/>
    <n v="217.55"/>
    <x v="1"/>
    <x v="2"/>
    <d v="2023-02-19T00:00:00"/>
    <x v="1"/>
  </r>
  <r>
    <s v="ORD0183"/>
    <d v="2024-05-18T00:00:00"/>
    <x v="2"/>
    <x v="75"/>
    <s v="PROD030"/>
    <n v="1"/>
    <n v="116.67"/>
    <x v="1"/>
    <x v="5"/>
    <d v="2023-02-17T00:00:00"/>
    <x v="1"/>
  </r>
  <r>
    <s v="ORD0184"/>
    <d v="2024-03-30T00:00:00"/>
    <x v="3"/>
    <x v="70"/>
    <s v="PROD006"/>
    <n v="1"/>
    <n v="394.46"/>
    <x v="2"/>
    <x v="1"/>
    <d v="2023-01-31T00:00:00"/>
    <x v="2"/>
  </r>
  <r>
    <s v="ORD0185"/>
    <d v="2024-06-15T00:00:00"/>
    <x v="1"/>
    <x v="23"/>
    <s v="PROD024"/>
    <n v="2"/>
    <n v="904.4"/>
    <x v="3"/>
    <x v="4"/>
    <d v="2023-12-02T00:00:00"/>
    <x v="6"/>
  </r>
  <r>
    <s v="ORD0186"/>
    <d v="2024-06-15T00:00:00"/>
    <x v="1"/>
    <x v="28"/>
    <s v="PROD029"/>
    <n v="1"/>
    <n v="85.85"/>
    <x v="3"/>
    <x v="4"/>
    <d v="2023-12-27T00:00:00"/>
    <x v="6"/>
  </r>
  <r>
    <s v="ORD0187"/>
    <d v="2024-01-08T00:00:00"/>
    <x v="0"/>
    <x v="57"/>
    <s v="PROD008"/>
    <n v="1"/>
    <n v="332.9"/>
    <x v="4"/>
    <x v="0"/>
    <d v="2023-04-12T00:00:00"/>
    <x v="9"/>
  </r>
  <r>
    <s v="ORD0188"/>
    <d v="2024-02-21T00:00:00"/>
    <x v="4"/>
    <x v="27"/>
    <s v="PROD029"/>
    <n v="2"/>
    <n v="171.7"/>
    <x v="3"/>
    <x v="4"/>
    <d v="2023-07-11T00:00:00"/>
    <x v="11"/>
  </r>
  <r>
    <s v="ORD0189"/>
    <d v="2024-06-08T00:00:00"/>
    <x v="1"/>
    <x v="53"/>
    <s v="PROD003"/>
    <n v="1"/>
    <n v="337.8"/>
    <x v="1"/>
    <x v="0"/>
    <d v="2023-08-20T00:00:00"/>
    <x v="7"/>
  </r>
  <r>
    <s v="ORD0190"/>
    <d v="2024-03-02T00:00:00"/>
    <x v="3"/>
    <x v="37"/>
    <s v="PROD025"/>
    <n v="2"/>
    <n v="391.4"/>
    <x v="2"/>
    <x v="4"/>
    <d v="2023-05-16T00:00:00"/>
    <x v="5"/>
  </r>
  <r>
    <s v="ORD0191"/>
    <d v="2024-05-01T00:00:00"/>
    <x v="2"/>
    <x v="13"/>
    <s v="PROD033"/>
    <n v="2"/>
    <n v="76.02"/>
    <x v="1"/>
    <x v="5"/>
    <d v="2023-11-08T00:00:00"/>
    <x v="8"/>
  </r>
  <r>
    <s v="ORD0192"/>
    <d v="2024-05-24T00:00:00"/>
    <x v="2"/>
    <x v="96"/>
    <s v="PROD037"/>
    <n v="1"/>
    <n v="43.58"/>
    <x v="2"/>
    <x v="5"/>
    <d v="2023-01-25T00:00:00"/>
    <x v="2"/>
  </r>
  <r>
    <s v="ORD0193"/>
    <d v="2024-04-29T00:00:00"/>
    <x v="5"/>
    <x v="17"/>
    <s v="PROD018"/>
    <n v="2"/>
    <n v="454.26"/>
    <x v="4"/>
    <x v="5"/>
    <d v="2023-05-15T00:00:00"/>
    <x v="5"/>
  </r>
  <r>
    <s v="ORD0194"/>
    <d v="2024-04-04T00:00:00"/>
    <x v="5"/>
    <x v="58"/>
    <s v="PROD040"/>
    <n v="3"/>
    <n v="391.95"/>
    <x v="0"/>
    <x v="1"/>
    <d v="2023-09-17T00:00:00"/>
    <x v="10"/>
  </r>
  <r>
    <s v="ORD0195"/>
    <d v="2024-06-04T00:00:00"/>
    <x v="1"/>
    <x v="0"/>
    <s v="PROD009"/>
    <n v="2"/>
    <n v="435.1"/>
    <x v="1"/>
    <x v="0"/>
    <d v="2023-10-11T00:00:00"/>
    <x v="0"/>
  </r>
  <r>
    <s v="ORD0196"/>
    <d v="2024-01-30T00:00:00"/>
    <x v="0"/>
    <x v="44"/>
    <s v="PROD028"/>
    <n v="5"/>
    <n v="1671.6"/>
    <x v="0"/>
    <x v="1"/>
    <d v="2023-10-07T00:00:00"/>
    <x v="0"/>
  </r>
  <r>
    <s v="ORD0197"/>
    <d v="2024-03-20T00:00:00"/>
    <x v="3"/>
    <x v="26"/>
    <s v="PROD025"/>
    <n v="2"/>
    <n v="391.4"/>
    <x v="2"/>
    <x v="4"/>
    <d v="2023-08-21T00:00:00"/>
    <x v="7"/>
  </r>
  <r>
    <s v="ORD0198"/>
    <d v="2024-05-28T00:00:00"/>
    <x v="2"/>
    <x v="44"/>
    <s v="PROD030"/>
    <n v="1"/>
    <n v="116.67"/>
    <x v="1"/>
    <x v="1"/>
    <d v="2023-10-07T00:00:00"/>
    <x v="0"/>
  </r>
  <r>
    <s v="ORD0199"/>
    <d v="2024-03-20T00:00:00"/>
    <x v="3"/>
    <x v="36"/>
    <s v="PROD025"/>
    <n v="1"/>
    <n v="195.7"/>
    <x v="2"/>
    <x v="1"/>
    <d v="2023-06-02T00:00:00"/>
    <x v="3"/>
  </r>
  <r>
    <s v="ORD0200"/>
    <d v="2024-06-22T00:00:00"/>
    <x v="1"/>
    <x v="59"/>
    <s v="PROD018"/>
    <n v="5"/>
    <n v="1135.6500000000001"/>
    <x v="4"/>
    <x v="5"/>
    <d v="2023-07-05T00:00:00"/>
    <x v="11"/>
  </r>
  <r>
    <s v="ORD0201"/>
    <d v="2024-04-11T00:00:00"/>
    <x v="5"/>
    <x v="95"/>
    <s v="PROD031"/>
    <n v="4"/>
    <n v="1175.2"/>
    <x v="4"/>
    <x v="2"/>
    <d v="2023-02-19T00:00:00"/>
    <x v="1"/>
  </r>
  <r>
    <s v="ORD0202"/>
    <d v="2024-01-20T00:00:00"/>
    <x v="0"/>
    <x v="66"/>
    <s v="PROD036"/>
    <n v="2"/>
    <n v="98.5"/>
    <x v="0"/>
    <x v="4"/>
    <d v="2023-08-25T00:00:00"/>
    <x v="7"/>
  </r>
  <r>
    <s v="ORD0203"/>
    <d v="2024-06-25T00:00:00"/>
    <x v="1"/>
    <x v="97"/>
    <s v="PROD024"/>
    <n v="5"/>
    <n v="2261"/>
    <x v="3"/>
    <x v="0"/>
    <d v="2023-05-16T00:00:00"/>
    <x v="5"/>
  </r>
  <r>
    <s v="ORD0204"/>
    <d v="2024-01-27T00:00:00"/>
    <x v="0"/>
    <x v="1"/>
    <s v="PROD025"/>
    <n v="2"/>
    <n v="391.4"/>
    <x v="2"/>
    <x v="1"/>
    <d v="2023-02-28T00:00:00"/>
    <x v="1"/>
  </r>
  <r>
    <s v="ORD0205"/>
    <d v="2024-06-24T00:00:00"/>
    <x v="1"/>
    <x v="74"/>
    <s v="PROD007"/>
    <n v="3"/>
    <n v="309.89999999999998"/>
    <x v="3"/>
    <x v="1"/>
    <d v="2023-11-13T00:00:00"/>
    <x v="8"/>
  </r>
  <r>
    <s v="ORD0206"/>
    <d v="2024-01-31T00:00:00"/>
    <x v="0"/>
    <x v="15"/>
    <s v="PROD014"/>
    <n v="5"/>
    <n v="659.2"/>
    <x v="4"/>
    <x v="3"/>
    <d v="2023-02-27T00:00:00"/>
    <x v="1"/>
  </r>
  <r>
    <s v="ORD0207"/>
    <d v="2024-01-11T00:00:00"/>
    <x v="0"/>
    <x v="80"/>
    <s v="PROD029"/>
    <n v="5"/>
    <n v="429.25"/>
    <x v="3"/>
    <x v="0"/>
    <d v="2023-09-10T00:00:00"/>
    <x v="10"/>
  </r>
  <r>
    <s v="ORD0208"/>
    <d v="2024-05-16T00:00:00"/>
    <x v="2"/>
    <x v="41"/>
    <s v="PROD008"/>
    <n v="3"/>
    <n v="998.7"/>
    <x v="4"/>
    <x v="1"/>
    <d v="2023-11-28T00:00:00"/>
    <x v="8"/>
  </r>
  <r>
    <s v="ORD0209"/>
    <d v="2024-06-18T00:00:00"/>
    <x v="1"/>
    <x v="16"/>
    <s v="PROD034"/>
    <n v="4"/>
    <n v="974.52"/>
    <x v="0"/>
    <x v="1"/>
    <d v="2023-08-05T00:00:00"/>
    <x v="7"/>
  </r>
  <r>
    <s v="ORD0210"/>
    <d v="2024-01-18T00:00:00"/>
    <x v="0"/>
    <x v="61"/>
    <s v="PROD018"/>
    <n v="3"/>
    <n v="681.39"/>
    <x v="4"/>
    <x v="5"/>
    <d v="2023-03-20T00:00:00"/>
    <x v="4"/>
  </r>
  <r>
    <s v="ORD0211"/>
    <d v="2024-06-14T00:00:00"/>
    <x v="1"/>
    <x v="86"/>
    <s v="PROD016"/>
    <n v="5"/>
    <n v="1083.5999999999999"/>
    <x v="2"/>
    <x v="3"/>
    <d v="2023-01-04T00:00:00"/>
    <x v="2"/>
  </r>
  <r>
    <s v="ORD0212"/>
    <d v="2024-01-04T00:00:00"/>
    <x v="0"/>
    <x v="62"/>
    <s v="PROD010"/>
    <n v="3"/>
    <n v="1299.8399999999999"/>
    <x v="3"/>
    <x v="1"/>
    <d v="2023-12-19T00:00:00"/>
    <x v="6"/>
  </r>
  <r>
    <s v="ORD0213"/>
    <d v="2024-05-05T00:00:00"/>
    <x v="2"/>
    <x v="38"/>
    <s v="PROD011"/>
    <n v="4"/>
    <n v="1359.8"/>
    <x v="4"/>
    <x v="1"/>
    <d v="2023-06-16T00:00:00"/>
    <x v="3"/>
  </r>
  <r>
    <s v="ORD0214"/>
    <d v="2024-04-20T00:00:00"/>
    <x v="5"/>
    <x v="98"/>
    <s v="PROD010"/>
    <n v="1"/>
    <n v="433.28"/>
    <x v="3"/>
    <x v="4"/>
    <d v="2023-12-10T00:00:00"/>
    <x v="6"/>
  </r>
  <r>
    <s v="ORD0215"/>
    <d v="2024-06-11T00:00:00"/>
    <x v="1"/>
    <x v="42"/>
    <s v="PROD008"/>
    <n v="3"/>
    <n v="998.7"/>
    <x v="4"/>
    <x v="0"/>
    <d v="2023-02-24T00:00:00"/>
    <x v="1"/>
  </r>
  <r>
    <s v="ORD0216"/>
    <d v="2024-02-09T00:00:00"/>
    <x v="4"/>
    <x v="38"/>
    <s v="PROD003"/>
    <n v="4"/>
    <n v="1351.2"/>
    <x v="1"/>
    <x v="1"/>
    <d v="2023-06-16T00:00:00"/>
    <x v="3"/>
  </r>
  <r>
    <s v="ORD0217"/>
    <d v="2024-02-15T00:00:00"/>
    <x v="4"/>
    <x v="58"/>
    <s v="PROD028"/>
    <n v="4"/>
    <n v="1337.28"/>
    <x v="0"/>
    <x v="1"/>
    <d v="2023-09-17T00:00:00"/>
    <x v="10"/>
  </r>
  <r>
    <s v="ORD0218"/>
    <d v="2024-06-15T00:00:00"/>
    <x v="1"/>
    <x v="99"/>
    <s v="PROD018"/>
    <n v="5"/>
    <n v="1135.6500000000001"/>
    <x v="4"/>
    <x v="1"/>
    <d v="2023-10-02T00:00:00"/>
    <x v="0"/>
  </r>
  <r>
    <s v="ORD0219"/>
    <d v="2024-06-06T00:00:00"/>
    <x v="1"/>
    <x v="53"/>
    <s v="PROD036"/>
    <n v="3"/>
    <n v="147.75"/>
    <x v="0"/>
    <x v="0"/>
    <d v="2023-08-20T00:00:00"/>
    <x v="7"/>
  </r>
  <r>
    <s v="ORD0220"/>
    <d v="2024-05-03T00:00:00"/>
    <x v="2"/>
    <x v="80"/>
    <s v="PROD018"/>
    <n v="5"/>
    <n v="1135.6500000000001"/>
    <x v="4"/>
    <x v="0"/>
    <d v="2023-09-10T00:00:00"/>
    <x v="10"/>
  </r>
  <r>
    <s v="ORD0221"/>
    <d v="2024-04-21T00:00:00"/>
    <x v="5"/>
    <x v="100"/>
    <s v="PROD018"/>
    <n v="4"/>
    <n v="908.52"/>
    <x v="4"/>
    <x v="1"/>
    <d v="2023-03-29T00:00:00"/>
    <x v="4"/>
  </r>
  <r>
    <s v="ORD0222"/>
    <d v="2024-03-09T00:00:00"/>
    <x v="3"/>
    <x v="91"/>
    <s v="PROD019"/>
    <n v="5"/>
    <n v="289.89999999999998"/>
    <x v="0"/>
    <x v="3"/>
    <d v="2023-06-26T00:00:00"/>
    <x v="3"/>
  </r>
  <r>
    <s v="ORD0223"/>
    <d v="2024-03-03T00:00:00"/>
    <x v="3"/>
    <x v="90"/>
    <s v="PROD018"/>
    <n v="3"/>
    <n v="681.39"/>
    <x v="4"/>
    <x v="0"/>
    <d v="2023-08-28T00:00:00"/>
    <x v="7"/>
  </r>
  <r>
    <s v="ORD0224"/>
    <d v="2024-03-12T00:00:00"/>
    <x v="3"/>
    <x v="37"/>
    <s v="PROD026"/>
    <n v="1"/>
    <n v="139.94999999999999"/>
    <x v="3"/>
    <x v="4"/>
    <d v="2023-05-16T00:00:00"/>
    <x v="5"/>
  </r>
  <r>
    <s v="ORD0225"/>
    <d v="2024-03-03T00:00:00"/>
    <x v="3"/>
    <x v="44"/>
    <s v="PROD031"/>
    <n v="4"/>
    <n v="1175.2"/>
    <x v="4"/>
    <x v="1"/>
    <d v="2023-10-07T00:00:00"/>
    <x v="0"/>
  </r>
  <r>
    <s v="ORD0226"/>
    <d v="2024-05-25T00:00:00"/>
    <x v="2"/>
    <x v="8"/>
    <s v="PROD039"/>
    <n v="4"/>
    <n v="831.4"/>
    <x v="2"/>
    <x v="5"/>
    <d v="2023-02-17T00:00:00"/>
    <x v="1"/>
  </r>
  <r>
    <s v="ORD0227"/>
    <d v="2024-06-20T00:00:00"/>
    <x v="1"/>
    <x v="45"/>
    <s v="PROD016"/>
    <n v="5"/>
    <n v="1083.5999999999999"/>
    <x v="2"/>
    <x v="3"/>
    <d v="2023-10-23T00:00:00"/>
    <x v="0"/>
  </r>
  <r>
    <s v="ORD0228"/>
    <d v="2024-03-27T00:00:00"/>
    <x v="3"/>
    <x v="42"/>
    <s v="PROD003"/>
    <n v="4"/>
    <n v="1351.2"/>
    <x v="1"/>
    <x v="0"/>
    <d v="2023-02-24T00:00:00"/>
    <x v="1"/>
  </r>
  <r>
    <s v="ORD0229"/>
    <d v="2024-05-06T00:00:00"/>
    <x v="2"/>
    <x v="92"/>
    <s v="PROD029"/>
    <n v="1"/>
    <n v="85.85"/>
    <x v="3"/>
    <x v="5"/>
    <d v="2023-04-28T00:00:00"/>
    <x v="9"/>
  </r>
  <r>
    <s v="ORD0230"/>
    <d v="2024-02-16T00:00:00"/>
    <x v="4"/>
    <x v="101"/>
    <s v="PROD035"/>
    <n v="3"/>
    <n v="261.42"/>
    <x v="0"/>
    <x v="3"/>
    <d v="2023-07-01T00:00:00"/>
    <x v="11"/>
  </r>
  <r>
    <s v="ORD0231"/>
    <d v="2024-02-24T00:00:00"/>
    <x v="4"/>
    <x v="73"/>
    <s v="PROD014"/>
    <n v="4"/>
    <n v="527.36"/>
    <x v="4"/>
    <x v="2"/>
    <d v="2023-10-29T00:00:00"/>
    <x v="0"/>
  </r>
  <r>
    <s v="ORD0232"/>
    <d v="2024-03-07T00:00:00"/>
    <x v="3"/>
    <x v="101"/>
    <s v="PROD012"/>
    <n v="3"/>
    <n v="119.1"/>
    <x v="4"/>
    <x v="3"/>
    <d v="2023-07-01T00:00:00"/>
    <x v="11"/>
  </r>
  <r>
    <s v="ORD0233"/>
    <d v="2024-03-12T00:00:00"/>
    <x v="3"/>
    <x v="46"/>
    <s v="PROD037"/>
    <n v="3"/>
    <n v="130.74"/>
    <x v="2"/>
    <x v="1"/>
    <d v="2023-09-01T00:00:00"/>
    <x v="10"/>
  </r>
  <r>
    <s v="ORD0234"/>
    <d v="2024-06-28T00:00:00"/>
    <x v="1"/>
    <x v="28"/>
    <s v="PROD015"/>
    <n v="5"/>
    <n v="1363.9"/>
    <x v="2"/>
    <x v="4"/>
    <d v="2023-12-27T00:00:00"/>
    <x v="6"/>
  </r>
  <r>
    <s v="ORD0235"/>
    <d v="2024-05-22T00:00:00"/>
    <x v="2"/>
    <x v="89"/>
    <s v="PROD015"/>
    <n v="3"/>
    <n v="818.34"/>
    <x v="2"/>
    <x v="3"/>
    <d v="2023-09-28T00:00:00"/>
    <x v="10"/>
  </r>
  <r>
    <s v="ORD0236"/>
    <d v="2024-05-12T00:00:00"/>
    <x v="2"/>
    <x v="102"/>
    <s v="PROD006"/>
    <n v="1"/>
    <n v="394.46"/>
    <x v="2"/>
    <x v="1"/>
    <d v="2023-03-23T00:00:00"/>
    <x v="4"/>
  </r>
  <r>
    <s v="ORD0237"/>
    <d v="2024-01-22T00:00:00"/>
    <x v="0"/>
    <x v="79"/>
    <s v="PROD039"/>
    <n v="2"/>
    <n v="415.7"/>
    <x v="2"/>
    <x v="0"/>
    <d v="2023-05-06T00:00:00"/>
    <x v="5"/>
  </r>
  <r>
    <s v="ORD0238"/>
    <d v="2024-04-14T00:00:00"/>
    <x v="5"/>
    <x v="2"/>
    <s v="PROD031"/>
    <n v="2"/>
    <n v="587.6"/>
    <x v="4"/>
    <x v="0"/>
    <d v="2023-01-01T00:00:00"/>
    <x v="2"/>
  </r>
  <r>
    <s v="ORD0239"/>
    <d v="2024-05-22T00:00:00"/>
    <x v="2"/>
    <x v="103"/>
    <s v="PROD033"/>
    <n v="4"/>
    <n v="152.04"/>
    <x v="1"/>
    <x v="1"/>
    <d v="2023-11-29T00:00:00"/>
    <x v="8"/>
  </r>
  <r>
    <s v="ORD0240"/>
    <d v="2024-06-25T00:00:00"/>
    <x v="1"/>
    <x v="75"/>
    <s v="PROD023"/>
    <n v="2"/>
    <n v="491.74"/>
    <x v="3"/>
    <x v="5"/>
    <d v="2023-02-17T00:00:00"/>
    <x v="1"/>
  </r>
  <r>
    <s v="ORD0241"/>
    <d v="2024-06-14T00:00:00"/>
    <x v="1"/>
    <x v="104"/>
    <s v="PROD003"/>
    <n v="4"/>
    <n v="1351.2"/>
    <x v="1"/>
    <x v="4"/>
    <d v="2023-01-04T00:00:00"/>
    <x v="2"/>
  </r>
  <r>
    <s v="ORD0242"/>
    <d v="2024-04-24T00:00:00"/>
    <x v="5"/>
    <x v="70"/>
    <s v="PROD007"/>
    <n v="4"/>
    <n v="413.2"/>
    <x v="3"/>
    <x v="1"/>
    <d v="2023-01-31T00:00:00"/>
    <x v="2"/>
  </r>
  <r>
    <s v="ORD0243"/>
    <d v="2024-01-24T00:00:00"/>
    <x v="0"/>
    <x v="12"/>
    <s v="PROD026"/>
    <n v="1"/>
    <n v="139.94999999999999"/>
    <x v="3"/>
    <x v="2"/>
    <d v="2023-05-18T00:00:00"/>
    <x v="5"/>
  </r>
  <r>
    <s v="ORD0244"/>
    <d v="2024-02-26T00:00:00"/>
    <x v="4"/>
    <x v="96"/>
    <s v="PROD030"/>
    <n v="3"/>
    <n v="350.01"/>
    <x v="1"/>
    <x v="5"/>
    <d v="2023-01-25T00:00:00"/>
    <x v="2"/>
  </r>
  <r>
    <s v="ORD0245"/>
    <d v="2024-06-26T00:00:00"/>
    <x v="1"/>
    <x v="105"/>
    <s v="PROD025"/>
    <n v="4"/>
    <n v="782.8"/>
    <x v="2"/>
    <x v="3"/>
    <d v="2023-05-03T00:00:00"/>
    <x v="5"/>
  </r>
  <r>
    <s v="ORD0246"/>
    <d v="2024-03-19T00:00:00"/>
    <x v="3"/>
    <x v="71"/>
    <s v="PROD029"/>
    <n v="2"/>
    <n v="171.7"/>
    <x v="3"/>
    <x v="2"/>
    <d v="2023-05-19T00:00:00"/>
    <x v="5"/>
  </r>
  <r>
    <s v="ORD0247"/>
    <d v="2024-04-04T00:00:00"/>
    <x v="5"/>
    <x v="80"/>
    <s v="PROD004"/>
    <n v="5"/>
    <n v="1371.1"/>
    <x v="2"/>
    <x v="0"/>
    <d v="2023-09-10T00:00:00"/>
    <x v="10"/>
  </r>
  <r>
    <s v="ORD0248"/>
    <d v="2024-05-21T00:00:00"/>
    <x v="2"/>
    <x v="95"/>
    <s v="PROD017"/>
    <n v="4"/>
    <n v="946.76"/>
    <x v="1"/>
    <x v="2"/>
    <d v="2023-02-19T00:00:00"/>
    <x v="1"/>
  </r>
  <r>
    <s v="ORD0249"/>
    <d v="2024-03-29T00:00:00"/>
    <x v="3"/>
    <x v="29"/>
    <s v="PROD040"/>
    <n v="5"/>
    <n v="653.25"/>
    <x v="0"/>
    <x v="5"/>
    <d v="2023-05-21T00:00:00"/>
    <x v="5"/>
  </r>
  <r>
    <s v="ORD0250"/>
    <d v="2024-05-20T00:00:00"/>
    <x v="2"/>
    <x v="4"/>
    <s v="PROD034"/>
    <n v="4"/>
    <n v="974.52"/>
    <x v="0"/>
    <x v="2"/>
    <d v="2023-06-24T00:00:00"/>
    <x v="3"/>
  </r>
  <r>
    <s v="ORD0251"/>
    <d v="2024-03-31T00:00:00"/>
    <x v="3"/>
    <x v="50"/>
    <s v="PROD034"/>
    <n v="3"/>
    <n v="730.89"/>
    <x v="0"/>
    <x v="3"/>
    <d v="2023-11-25T00:00:00"/>
    <x v="8"/>
  </r>
  <r>
    <s v="ORD0252"/>
    <d v="2024-03-10T00:00:00"/>
    <x v="3"/>
    <x v="22"/>
    <s v="PROD019"/>
    <n v="4"/>
    <n v="231.92"/>
    <x v="0"/>
    <x v="1"/>
    <d v="2023-02-27T00:00:00"/>
    <x v="1"/>
  </r>
  <r>
    <s v="ORD0253"/>
    <d v="2024-03-05T00:00:00"/>
    <x v="3"/>
    <x v="31"/>
    <s v="PROD014"/>
    <n v="3"/>
    <n v="395.52"/>
    <x v="4"/>
    <x v="2"/>
    <d v="2023-07-15T00:00:00"/>
    <x v="11"/>
  </r>
  <r>
    <s v="ORD0254"/>
    <d v="2024-01-31T00:00:00"/>
    <x v="0"/>
    <x v="20"/>
    <s v="PROD037"/>
    <n v="2"/>
    <n v="87.16"/>
    <x v="2"/>
    <x v="0"/>
    <d v="2023-08-05T00:00:00"/>
    <x v="7"/>
  </r>
  <r>
    <s v="ORD0255"/>
    <d v="2024-03-21T00:00:00"/>
    <x v="3"/>
    <x v="102"/>
    <s v="PROD023"/>
    <n v="2"/>
    <n v="491.74"/>
    <x v="3"/>
    <x v="1"/>
    <d v="2023-03-23T00:00:00"/>
    <x v="4"/>
  </r>
  <r>
    <s v="ORD0256"/>
    <d v="2024-05-17T00:00:00"/>
    <x v="2"/>
    <x v="91"/>
    <s v="PROD037"/>
    <n v="1"/>
    <n v="43.58"/>
    <x v="2"/>
    <x v="3"/>
    <d v="2023-06-26T00:00:00"/>
    <x v="3"/>
  </r>
  <r>
    <s v="ORD0257"/>
    <d v="2024-02-19T00:00:00"/>
    <x v="4"/>
    <x v="94"/>
    <s v="PROD003"/>
    <n v="2"/>
    <n v="675.6"/>
    <x v="1"/>
    <x v="5"/>
    <d v="2023-12-29T00:00:00"/>
    <x v="6"/>
  </r>
  <r>
    <s v="ORD0258"/>
    <d v="2024-05-03T00:00:00"/>
    <x v="2"/>
    <x v="106"/>
    <s v="PROD030"/>
    <n v="2"/>
    <n v="233.34"/>
    <x v="1"/>
    <x v="4"/>
    <d v="2023-02-22T00:00:00"/>
    <x v="1"/>
  </r>
  <r>
    <s v="ORD0259"/>
    <d v="2024-05-30T00:00:00"/>
    <x v="2"/>
    <x v="91"/>
    <s v="PROD008"/>
    <n v="3"/>
    <n v="998.7"/>
    <x v="4"/>
    <x v="3"/>
    <d v="2023-06-26T00:00:00"/>
    <x v="3"/>
  </r>
  <r>
    <s v="ORD0260"/>
    <d v="2024-06-01T00:00:00"/>
    <x v="1"/>
    <x v="29"/>
    <s v="PROD012"/>
    <n v="5"/>
    <n v="198.5"/>
    <x v="4"/>
    <x v="5"/>
    <d v="2023-05-21T00:00:00"/>
    <x v="5"/>
  </r>
  <r>
    <s v="ORD0261"/>
    <d v="2024-01-26T00:00:00"/>
    <x v="0"/>
    <x v="92"/>
    <s v="PROD039"/>
    <n v="3"/>
    <n v="623.54999999999995"/>
    <x v="2"/>
    <x v="5"/>
    <d v="2023-04-28T00:00:00"/>
    <x v="9"/>
  </r>
  <r>
    <s v="ORD0262"/>
    <d v="2024-03-16T00:00:00"/>
    <x v="3"/>
    <x v="73"/>
    <s v="PROD025"/>
    <n v="2"/>
    <n v="391.4"/>
    <x v="2"/>
    <x v="2"/>
    <d v="2023-10-29T00:00:00"/>
    <x v="0"/>
  </r>
  <r>
    <s v="ORD0263"/>
    <d v="2024-04-02T00:00:00"/>
    <x v="5"/>
    <x v="79"/>
    <s v="PROD014"/>
    <n v="2"/>
    <n v="263.68"/>
    <x v="4"/>
    <x v="0"/>
    <d v="2023-05-06T00:00:00"/>
    <x v="5"/>
  </r>
  <r>
    <s v="ORD0264"/>
    <d v="2024-03-18T00:00:00"/>
    <x v="3"/>
    <x v="86"/>
    <s v="PROD040"/>
    <n v="2"/>
    <n v="261.3"/>
    <x v="0"/>
    <x v="3"/>
    <d v="2023-01-04T00:00:00"/>
    <x v="2"/>
  </r>
  <r>
    <s v="ORD0265"/>
    <d v="2024-05-16T00:00:00"/>
    <x v="2"/>
    <x v="21"/>
    <s v="PROD027"/>
    <n v="1"/>
    <n v="149.77000000000001"/>
    <x v="3"/>
    <x v="2"/>
    <d v="2023-02-10T00:00:00"/>
    <x v="1"/>
  </r>
  <r>
    <s v="ORD0266"/>
    <d v="2024-03-11T00:00:00"/>
    <x v="3"/>
    <x v="29"/>
    <s v="PROD030"/>
    <n v="2"/>
    <n v="233.34"/>
    <x v="1"/>
    <x v="5"/>
    <d v="2023-05-21T00:00:00"/>
    <x v="5"/>
  </r>
  <r>
    <s v="ORD0267"/>
    <d v="2024-01-14T00:00:00"/>
    <x v="0"/>
    <x v="66"/>
    <s v="PROD010"/>
    <n v="1"/>
    <n v="433.28"/>
    <x v="3"/>
    <x v="4"/>
    <d v="2023-08-25T00:00:00"/>
    <x v="7"/>
  </r>
  <r>
    <s v="ORD0268"/>
    <d v="2024-03-15T00:00:00"/>
    <x v="3"/>
    <x v="35"/>
    <s v="PROD030"/>
    <n v="5"/>
    <n v="583.35"/>
    <x v="1"/>
    <x v="4"/>
    <d v="2023-03-07T00:00:00"/>
    <x v="4"/>
  </r>
  <r>
    <s v="ORD0269"/>
    <d v="2024-06-12T00:00:00"/>
    <x v="1"/>
    <x v="107"/>
    <s v="PROD025"/>
    <n v="2"/>
    <n v="391.4"/>
    <x v="2"/>
    <x v="1"/>
    <d v="2023-04-27T00:00:00"/>
    <x v="9"/>
  </r>
  <r>
    <s v="ORD0270"/>
    <d v="2024-01-27T00:00:00"/>
    <x v="0"/>
    <x v="3"/>
    <s v="PROD038"/>
    <n v="4"/>
    <n v="1363.4"/>
    <x v="4"/>
    <x v="0"/>
    <d v="2023-02-10T00:00:00"/>
    <x v="1"/>
  </r>
  <r>
    <s v="ORD0271"/>
    <d v="2024-05-26T00:00:00"/>
    <x v="2"/>
    <x v="10"/>
    <s v="PROD022"/>
    <n v="1"/>
    <n v="91.49"/>
    <x v="2"/>
    <x v="3"/>
    <d v="2023-08-13T00:00:00"/>
    <x v="7"/>
  </r>
  <r>
    <s v="ORD0272"/>
    <d v="2024-04-30T00:00:00"/>
    <x v="5"/>
    <x v="71"/>
    <s v="PROD021"/>
    <n v="3"/>
    <n v="1391.76"/>
    <x v="4"/>
    <x v="2"/>
    <d v="2023-05-19T00:00:00"/>
    <x v="5"/>
  </r>
  <r>
    <s v="ORD0273"/>
    <d v="2024-04-22T00:00:00"/>
    <x v="5"/>
    <x v="52"/>
    <s v="PROD018"/>
    <n v="4"/>
    <n v="908.52"/>
    <x v="4"/>
    <x v="4"/>
    <d v="2023-04-25T00:00:00"/>
    <x v="9"/>
  </r>
  <r>
    <s v="ORD0274"/>
    <d v="2024-02-17T00:00:00"/>
    <x v="4"/>
    <x v="93"/>
    <s v="PROD030"/>
    <n v="3"/>
    <n v="350.01"/>
    <x v="1"/>
    <x v="2"/>
    <d v="2023-01-10T00:00:00"/>
    <x v="2"/>
  </r>
  <r>
    <s v="ORD0275"/>
    <d v="2024-03-05T00:00:00"/>
    <x v="3"/>
    <x v="61"/>
    <s v="PROD015"/>
    <n v="1"/>
    <n v="272.77999999999997"/>
    <x v="2"/>
    <x v="5"/>
    <d v="2023-03-20T00:00:00"/>
    <x v="4"/>
  </r>
  <r>
    <s v="ORD0276"/>
    <d v="2024-01-30T00:00:00"/>
    <x v="0"/>
    <x v="73"/>
    <s v="PROD006"/>
    <n v="4"/>
    <n v="1577.84"/>
    <x v="2"/>
    <x v="2"/>
    <d v="2023-10-29T00:00:00"/>
    <x v="0"/>
  </r>
  <r>
    <s v="ORD0277"/>
    <d v="2024-04-12T00:00:00"/>
    <x v="5"/>
    <x v="108"/>
    <s v="PROD034"/>
    <n v="1"/>
    <n v="243.63"/>
    <x v="0"/>
    <x v="5"/>
    <d v="2023-04-19T00:00:00"/>
    <x v="9"/>
  </r>
  <r>
    <s v="ORD0278"/>
    <d v="2024-01-19T00:00:00"/>
    <x v="0"/>
    <x v="76"/>
    <s v="PROD013"/>
    <n v="4"/>
    <n v="1609.16"/>
    <x v="1"/>
    <x v="3"/>
    <d v="2023-01-11T00:00:00"/>
    <x v="2"/>
  </r>
  <r>
    <s v="ORD0279"/>
    <d v="2024-06-10T00:00:00"/>
    <x v="1"/>
    <x v="3"/>
    <s v="PROD023"/>
    <n v="5"/>
    <n v="1229.3499999999999"/>
    <x v="3"/>
    <x v="0"/>
    <d v="2023-02-10T00:00:00"/>
    <x v="1"/>
  </r>
  <r>
    <s v="ORD0280"/>
    <d v="2024-02-08T00:00:00"/>
    <x v="4"/>
    <x v="52"/>
    <s v="PROD007"/>
    <n v="1"/>
    <n v="103.3"/>
    <x v="3"/>
    <x v="4"/>
    <d v="2023-04-25T00:00:00"/>
    <x v="9"/>
  </r>
  <r>
    <s v="ORD0281"/>
    <d v="2024-05-24T00:00:00"/>
    <x v="2"/>
    <x v="109"/>
    <s v="PROD019"/>
    <n v="2"/>
    <n v="115.96"/>
    <x v="0"/>
    <x v="3"/>
    <d v="2023-07-24T00:00:00"/>
    <x v="11"/>
  </r>
  <r>
    <s v="ORD0282"/>
    <d v="2024-01-22T00:00:00"/>
    <x v="0"/>
    <x v="37"/>
    <s v="PROD019"/>
    <n v="3"/>
    <n v="173.94"/>
    <x v="0"/>
    <x v="4"/>
    <d v="2023-05-16T00:00:00"/>
    <x v="5"/>
  </r>
  <r>
    <s v="ORD0283"/>
    <d v="2024-01-31T00:00:00"/>
    <x v="0"/>
    <x v="110"/>
    <s v="PROD039"/>
    <n v="2"/>
    <n v="415.7"/>
    <x v="2"/>
    <x v="0"/>
    <d v="2023-06-11T00:00:00"/>
    <x v="3"/>
  </r>
  <r>
    <s v="ORD0284"/>
    <d v="2024-04-16T00:00:00"/>
    <x v="5"/>
    <x v="104"/>
    <s v="PROD034"/>
    <n v="5"/>
    <n v="1218.1500000000001"/>
    <x v="0"/>
    <x v="4"/>
    <d v="2023-01-04T00:00:00"/>
    <x v="2"/>
  </r>
  <r>
    <s v="ORD0285"/>
    <d v="2024-06-01T00:00:00"/>
    <x v="1"/>
    <x v="111"/>
    <s v="PROD038"/>
    <n v="5"/>
    <n v="1704.25"/>
    <x v="4"/>
    <x v="4"/>
    <d v="2023-12-24T00:00:00"/>
    <x v="6"/>
  </r>
  <r>
    <s v="ORD0286"/>
    <d v="2024-02-27T00:00:00"/>
    <x v="4"/>
    <x v="32"/>
    <s v="PROD038"/>
    <n v="5"/>
    <n v="1704.25"/>
    <x v="4"/>
    <x v="5"/>
    <d v="2023-09-30T00:00:00"/>
    <x v="10"/>
  </r>
  <r>
    <s v="ORD0287"/>
    <d v="2024-04-07T00:00:00"/>
    <x v="5"/>
    <x v="11"/>
    <s v="PROD002"/>
    <n v="5"/>
    <n v="1309.7"/>
    <x v="4"/>
    <x v="5"/>
    <d v="2023-08-24T00:00:00"/>
    <x v="7"/>
  </r>
  <r>
    <s v="ORD0288"/>
    <d v="2024-04-23T00:00:00"/>
    <x v="5"/>
    <x v="15"/>
    <s v="PROD031"/>
    <n v="4"/>
    <n v="1175.2"/>
    <x v="4"/>
    <x v="3"/>
    <d v="2023-02-27T00:00:00"/>
    <x v="1"/>
  </r>
  <r>
    <s v="ORD0289"/>
    <d v="2024-05-30T00:00:00"/>
    <x v="2"/>
    <x v="10"/>
    <s v="PROD028"/>
    <n v="3"/>
    <n v="1002.96"/>
    <x v="0"/>
    <x v="3"/>
    <d v="2023-08-13T00:00:00"/>
    <x v="7"/>
  </r>
  <r>
    <s v="ORD0290"/>
    <d v="2024-03-19T00:00:00"/>
    <x v="3"/>
    <x v="74"/>
    <s v="PROD013"/>
    <n v="4"/>
    <n v="1609.16"/>
    <x v="1"/>
    <x v="1"/>
    <d v="2023-11-13T00:00:00"/>
    <x v="8"/>
  </r>
  <r>
    <s v="ORD0291"/>
    <d v="2024-06-07T00:00:00"/>
    <x v="1"/>
    <x v="59"/>
    <s v="PROD012"/>
    <n v="5"/>
    <n v="198.5"/>
    <x v="4"/>
    <x v="5"/>
    <d v="2023-07-05T00:00:00"/>
    <x v="11"/>
  </r>
  <r>
    <s v="ORD0292"/>
    <d v="2024-06-05T00:00:00"/>
    <x v="1"/>
    <x v="55"/>
    <s v="PROD011"/>
    <n v="1"/>
    <n v="339.95"/>
    <x v="4"/>
    <x v="4"/>
    <d v="2023-02-21T00:00:00"/>
    <x v="1"/>
  </r>
  <r>
    <s v="ORD0293"/>
    <d v="2024-02-23T00:00:00"/>
    <x v="4"/>
    <x v="112"/>
    <s v="PROD024"/>
    <n v="1"/>
    <n v="452.2"/>
    <x v="3"/>
    <x v="4"/>
    <d v="2023-10-04T00:00:00"/>
    <x v="0"/>
  </r>
  <r>
    <s v="ORD0294"/>
    <d v="2024-03-08T00:00:00"/>
    <x v="3"/>
    <x v="90"/>
    <s v="PROD032"/>
    <n v="2"/>
    <n v="79.739999999999995"/>
    <x v="0"/>
    <x v="0"/>
    <d v="2023-08-28T00:00:00"/>
    <x v="7"/>
  </r>
  <r>
    <s v="ORD0295"/>
    <d v="2024-02-10T00:00:00"/>
    <x v="4"/>
    <x v="24"/>
    <s v="PROD008"/>
    <n v="1"/>
    <n v="332.9"/>
    <x v="4"/>
    <x v="3"/>
    <d v="2023-02-10T00:00:00"/>
    <x v="1"/>
  </r>
  <r>
    <s v="ORD0296"/>
    <d v="2024-02-14T00:00:00"/>
    <x v="4"/>
    <x v="71"/>
    <s v="PROD037"/>
    <n v="2"/>
    <n v="87.16"/>
    <x v="2"/>
    <x v="2"/>
    <d v="2023-05-19T00:00:00"/>
    <x v="5"/>
  </r>
  <r>
    <s v="ORD0297"/>
    <d v="2024-01-20T00:00:00"/>
    <x v="0"/>
    <x v="95"/>
    <s v="PROD031"/>
    <n v="5"/>
    <n v="1469"/>
    <x v="4"/>
    <x v="2"/>
    <d v="2023-02-19T00:00:00"/>
    <x v="1"/>
  </r>
  <r>
    <s v="ORD0298"/>
    <d v="2024-01-01T00:00:00"/>
    <x v="0"/>
    <x v="65"/>
    <s v="PROD024"/>
    <n v="2"/>
    <n v="904.4"/>
    <x v="3"/>
    <x v="2"/>
    <d v="2023-05-23T00:00:00"/>
    <x v="5"/>
  </r>
  <r>
    <s v="ORD0299"/>
    <d v="2024-04-25T00:00:00"/>
    <x v="5"/>
    <x v="44"/>
    <s v="PROD026"/>
    <n v="4"/>
    <n v="559.79999999999995"/>
    <x v="3"/>
    <x v="1"/>
    <d v="2023-10-07T00:00:00"/>
    <x v="0"/>
  </r>
  <r>
    <s v="ORD0300"/>
    <d v="2024-04-30T00:00:00"/>
    <x v="5"/>
    <x v="14"/>
    <s v="PROD017"/>
    <n v="5"/>
    <n v="1183.45"/>
    <x v="1"/>
    <x v="0"/>
    <d v="2023-04-23T00:00:00"/>
    <x v="9"/>
  </r>
  <r>
    <s v="ORD0301"/>
    <d v="2024-01-09T00:00:00"/>
    <x v="0"/>
    <x v="3"/>
    <s v="PROD005"/>
    <n v="3"/>
    <n v="877.02"/>
    <x v="0"/>
    <x v="0"/>
    <d v="2023-02-10T00:00:00"/>
    <x v="1"/>
  </r>
  <r>
    <s v="ORD0302"/>
    <d v="2024-03-14T00:00:00"/>
    <x v="3"/>
    <x v="69"/>
    <s v="PROD021"/>
    <n v="2"/>
    <n v="927.84"/>
    <x v="4"/>
    <x v="4"/>
    <d v="2023-04-30T00:00:00"/>
    <x v="9"/>
  </r>
  <r>
    <s v="ORD0303"/>
    <d v="2024-06-28T00:00:00"/>
    <x v="1"/>
    <x v="18"/>
    <s v="PROD008"/>
    <n v="3"/>
    <n v="998.7"/>
    <x v="4"/>
    <x v="0"/>
    <d v="2023-03-26T00:00:00"/>
    <x v="4"/>
  </r>
  <r>
    <s v="ORD0304"/>
    <d v="2024-01-19T00:00:00"/>
    <x v="0"/>
    <x v="61"/>
    <s v="PROD018"/>
    <n v="4"/>
    <n v="908.52"/>
    <x v="4"/>
    <x v="5"/>
    <d v="2023-03-20T00:00:00"/>
    <x v="4"/>
  </r>
  <r>
    <s v="ORD0305"/>
    <d v="2024-03-08T00:00:00"/>
    <x v="3"/>
    <x v="105"/>
    <s v="PROD027"/>
    <n v="2"/>
    <n v="299.54000000000002"/>
    <x v="3"/>
    <x v="3"/>
    <d v="2023-05-03T00:00:00"/>
    <x v="5"/>
  </r>
  <r>
    <s v="ORD0306"/>
    <d v="2024-06-18T00:00:00"/>
    <x v="1"/>
    <x v="111"/>
    <s v="PROD022"/>
    <n v="5"/>
    <n v="457.45"/>
    <x v="2"/>
    <x v="4"/>
    <d v="2023-12-24T00:00:00"/>
    <x v="6"/>
  </r>
  <r>
    <s v="ORD0307"/>
    <d v="2024-04-18T00:00:00"/>
    <x v="5"/>
    <x v="49"/>
    <s v="PROD011"/>
    <n v="2"/>
    <n v="679.9"/>
    <x v="4"/>
    <x v="4"/>
    <d v="2023-11-29T00:00:00"/>
    <x v="8"/>
  </r>
  <r>
    <s v="ORD0308"/>
    <d v="2024-05-19T00:00:00"/>
    <x v="2"/>
    <x v="113"/>
    <s v="PROD021"/>
    <n v="1"/>
    <n v="463.92"/>
    <x v="4"/>
    <x v="1"/>
    <d v="2023-10-07T00:00:00"/>
    <x v="0"/>
  </r>
  <r>
    <s v="ORD0309"/>
    <d v="2024-06-14T00:00:00"/>
    <x v="1"/>
    <x v="20"/>
    <s v="PROD018"/>
    <n v="2"/>
    <n v="454.26"/>
    <x v="4"/>
    <x v="0"/>
    <d v="2023-08-05T00:00:00"/>
    <x v="7"/>
  </r>
  <r>
    <s v="ORD0310"/>
    <d v="2024-03-09T00:00:00"/>
    <x v="3"/>
    <x v="18"/>
    <s v="PROD016"/>
    <n v="2"/>
    <n v="433.44"/>
    <x v="2"/>
    <x v="0"/>
    <d v="2023-03-26T00:00:00"/>
    <x v="4"/>
  </r>
  <r>
    <s v="ORD0311"/>
    <d v="2024-01-19T00:00:00"/>
    <x v="0"/>
    <x v="64"/>
    <s v="PROD018"/>
    <n v="2"/>
    <n v="454.26"/>
    <x v="4"/>
    <x v="1"/>
    <d v="2023-10-27T00:00:00"/>
    <x v="0"/>
  </r>
  <r>
    <s v="ORD0312"/>
    <d v="2024-02-12T00:00:00"/>
    <x v="4"/>
    <x v="105"/>
    <s v="PROD022"/>
    <n v="1"/>
    <n v="91.49"/>
    <x v="2"/>
    <x v="3"/>
    <d v="2023-05-03T00:00:00"/>
    <x v="5"/>
  </r>
  <r>
    <s v="ORD0313"/>
    <d v="2024-06-01T00:00:00"/>
    <x v="1"/>
    <x v="76"/>
    <s v="PROD037"/>
    <n v="3"/>
    <n v="130.74"/>
    <x v="2"/>
    <x v="3"/>
    <d v="2023-01-11T00:00:00"/>
    <x v="2"/>
  </r>
  <r>
    <s v="ORD0314"/>
    <d v="2024-03-14T00:00:00"/>
    <x v="3"/>
    <x v="41"/>
    <s v="PROD003"/>
    <n v="5"/>
    <n v="1689"/>
    <x v="1"/>
    <x v="1"/>
    <d v="2023-11-28T00:00:00"/>
    <x v="8"/>
  </r>
  <r>
    <s v="ORD0315"/>
    <d v="2024-02-01T00:00:00"/>
    <x v="4"/>
    <x v="11"/>
    <s v="PROD020"/>
    <n v="4"/>
    <n v="1678.6"/>
    <x v="0"/>
    <x v="5"/>
    <d v="2023-08-24T00:00:00"/>
    <x v="7"/>
  </r>
  <r>
    <s v="ORD0316"/>
    <d v="2024-06-25T00:00:00"/>
    <x v="1"/>
    <x v="10"/>
    <s v="PROD033"/>
    <n v="4"/>
    <n v="152.04"/>
    <x v="1"/>
    <x v="3"/>
    <d v="2023-08-13T00:00:00"/>
    <x v="7"/>
  </r>
  <r>
    <s v="ORD0317"/>
    <d v="2024-06-28T00:00:00"/>
    <x v="1"/>
    <x v="45"/>
    <s v="PROD007"/>
    <n v="3"/>
    <n v="309.89999999999998"/>
    <x v="3"/>
    <x v="3"/>
    <d v="2023-10-23T00:00:00"/>
    <x v="0"/>
  </r>
  <r>
    <s v="ORD0318"/>
    <d v="2024-03-10T00:00:00"/>
    <x v="3"/>
    <x v="17"/>
    <s v="PROD012"/>
    <n v="4"/>
    <n v="158.80000000000001"/>
    <x v="4"/>
    <x v="5"/>
    <d v="2023-05-15T00:00:00"/>
    <x v="5"/>
  </r>
  <r>
    <s v="ORD0319"/>
    <d v="2024-05-18T00:00:00"/>
    <x v="2"/>
    <x v="9"/>
    <s v="PROD025"/>
    <n v="5"/>
    <n v="978.5"/>
    <x v="2"/>
    <x v="3"/>
    <d v="2023-12-26T00:00:00"/>
    <x v="6"/>
  </r>
  <r>
    <s v="ORD0320"/>
    <d v="2024-04-22T00:00:00"/>
    <x v="5"/>
    <x v="35"/>
    <s v="PROD023"/>
    <n v="4"/>
    <n v="983.48"/>
    <x v="3"/>
    <x v="4"/>
    <d v="2023-03-07T00:00:00"/>
    <x v="4"/>
  </r>
  <r>
    <s v="ORD0321"/>
    <d v="2024-06-02T00:00:00"/>
    <x v="1"/>
    <x v="85"/>
    <s v="PROD029"/>
    <n v="1"/>
    <n v="85.85"/>
    <x v="3"/>
    <x v="0"/>
    <d v="2023-02-02T00:00:00"/>
    <x v="1"/>
  </r>
  <r>
    <s v="ORD0322"/>
    <d v="2024-04-20T00:00:00"/>
    <x v="5"/>
    <x v="10"/>
    <s v="PROD009"/>
    <n v="1"/>
    <n v="217.55"/>
    <x v="1"/>
    <x v="3"/>
    <d v="2023-08-13T00:00:00"/>
    <x v="7"/>
  </r>
  <r>
    <s v="ORD0323"/>
    <d v="2024-06-03T00:00:00"/>
    <x v="1"/>
    <x v="50"/>
    <s v="PROD013"/>
    <n v="3"/>
    <n v="1206.8699999999999"/>
    <x v="1"/>
    <x v="3"/>
    <d v="2023-11-25T00:00:00"/>
    <x v="8"/>
  </r>
  <r>
    <s v="ORD0324"/>
    <d v="2024-01-07T00:00:00"/>
    <x v="0"/>
    <x v="56"/>
    <s v="PROD025"/>
    <n v="3"/>
    <n v="587.1"/>
    <x v="2"/>
    <x v="4"/>
    <d v="2024-01-01T00:00:00"/>
    <x v="12"/>
  </r>
  <r>
    <s v="ORD0325"/>
    <d v="2024-02-28T00:00:00"/>
    <x v="4"/>
    <x v="33"/>
    <s v="PROD038"/>
    <n v="1"/>
    <n v="340.85"/>
    <x v="4"/>
    <x v="2"/>
    <d v="2023-04-23T00:00:00"/>
    <x v="9"/>
  </r>
  <r>
    <s v="ORD0326"/>
    <d v="2024-05-30T00:00:00"/>
    <x v="2"/>
    <x v="80"/>
    <s v="PROD037"/>
    <n v="5"/>
    <n v="217.9"/>
    <x v="2"/>
    <x v="0"/>
    <d v="2023-09-10T00:00:00"/>
    <x v="10"/>
  </r>
  <r>
    <s v="ORD0327"/>
    <d v="2024-06-21T00:00:00"/>
    <x v="1"/>
    <x v="5"/>
    <s v="PROD013"/>
    <n v="1"/>
    <n v="402.29"/>
    <x v="1"/>
    <x v="3"/>
    <d v="2023-03-25T00:00:00"/>
    <x v="4"/>
  </r>
  <r>
    <s v="ORD0328"/>
    <d v="2024-05-27T00:00:00"/>
    <x v="2"/>
    <x v="13"/>
    <s v="PROD028"/>
    <n v="3"/>
    <n v="1002.96"/>
    <x v="0"/>
    <x v="5"/>
    <d v="2023-11-08T00:00:00"/>
    <x v="8"/>
  </r>
  <r>
    <s v="ORD0329"/>
    <d v="2024-02-14T00:00:00"/>
    <x v="4"/>
    <x v="13"/>
    <s v="PROD006"/>
    <n v="1"/>
    <n v="394.46"/>
    <x v="2"/>
    <x v="5"/>
    <d v="2023-11-08T00:00:00"/>
    <x v="8"/>
  </r>
  <r>
    <s v="ORD0330"/>
    <d v="2024-05-12T00:00:00"/>
    <x v="2"/>
    <x v="55"/>
    <s v="PROD012"/>
    <n v="4"/>
    <n v="158.80000000000001"/>
    <x v="4"/>
    <x v="4"/>
    <d v="2023-02-21T00:00:00"/>
    <x v="1"/>
  </r>
  <r>
    <s v="ORD0331"/>
    <d v="2024-03-12T00:00:00"/>
    <x v="3"/>
    <x v="66"/>
    <s v="PROD001"/>
    <n v="4"/>
    <n v="1724.88"/>
    <x v="4"/>
    <x v="4"/>
    <d v="2023-08-25T00:00:00"/>
    <x v="7"/>
  </r>
  <r>
    <s v="ORD0332"/>
    <d v="2024-05-29T00:00:00"/>
    <x v="2"/>
    <x v="16"/>
    <s v="PROD005"/>
    <n v="2"/>
    <n v="584.67999999999995"/>
    <x v="0"/>
    <x v="1"/>
    <d v="2023-08-05T00:00:00"/>
    <x v="7"/>
  </r>
  <r>
    <s v="ORD0333"/>
    <d v="2024-06-11T00:00:00"/>
    <x v="1"/>
    <x v="77"/>
    <s v="PROD028"/>
    <n v="4"/>
    <n v="1337.28"/>
    <x v="0"/>
    <x v="0"/>
    <d v="2023-03-05T00:00:00"/>
    <x v="4"/>
  </r>
  <r>
    <s v="ORD0334"/>
    <d v="2024-01-24T00:00:00"/>
    <x v="0"/>
    <x v="110"/>
    <s v="PROD006"/>
    <n v="4"/>
    <n v="1577.84"/>
    <x v="2"/>
    <x v="0"/>
    <d v="2023-06-11T00:00:00"/>
    <x v="3"/>
  </r>
  <r>
    <s v="ORD0335"/>
    <d v="2024-03-30T00:00:00"/>
    <x v="3"/>
    <x v="64"/>
    <s v="PROD040"/>
    <n v="4"/>
    <n v="522.6"/>
    <x v="0"/>
    <x v="1"/>
    <d v="2023-10-27T00:00:00"/>
    <x v="0"/>
  </r>
  <r>
    <s v="ORD0336"/>
    <d v="2024-03-26T00:00:00"/>
    <x v="3"/>
    <x v="19"/>
    <s v="PROD037"/>
    <n v="4"/>
    <n v="174.32"/>
    <x v="2"/>
    <x v="1"/>
    <d v="2023-10-15T00:00:00"/>
    <x v="0"/>
  </r>
  <r>
    <s v="ORD0337"/>
    <d v="2024-06-20T00:00:00"/>
    <x v="1"/>
    <x v="86"/>
    <s v="PROD024"/>
    <n v="3"/>
    <n v="1356.6"/>
    <x v="3"/>
    <x v="3"/>
    <d v="2023-01-04T00:00:00"/>
    <x v="2"/>
  </r>
  <r>
    <s v="ORD0338"/>
    <d v="2024-02-11T00:00:00"/>
    <x v="4"/>
    <x v="18"/>
    <s v="PROD016"/>
    <n v="1"/>
    <n v="216.72"/>
    <x v="2"/>
    <x v="0"/>
    <d v="2023-03-26T00:00:00"/>
    <x v="4"/>
  </r>
  <r>
    <s v="ORD0339"/>
    <d v="2024-04-15T00:00:00"/>
    <x v="5"/>
    <x v="50"/>
    <s v="PROD037"/>
    <n v="3"/>
    <n v="130.74"/>
    <x v="2"/>
    <x v="3"/>
    <d v="2023-11-25T00:00:00"/>
    <x v="8"/>
  </r>
  <r>
    <s v="ORD0340"/>
    <d v="2024-03-14T00:00:00"/>
    <x v="3"/>
    <x v="87"/>
    <s v="PROD005"/>
    <n v="4"/>
    <n v="1169.3599999999999"/>
    <x v="0"/>
    <x v="5"/>
    <d v="2023-05-07T00:00:00"/>
    <x v="5"/>
  </r>
  <r>
    <s v="ORD0341"/>
    <d v="2024-05-20T00:00:00"/>
    <x v="2"/>
    <x v="46"/>
    <s v="PROD038"/>
    <n v="4"/>
    <n v="1363.4"/>
    <x v="4"/>
    <x v="1"/>
    <d v="2023-09-01T00:00:00"/>
    <x v="10"/>
  </r>
  <r>
    <s v="ORD0342"/>
    <d v="2024-04-26T00:00:00"/>
    <x v="5"/>
    <x v="48"/>
    <s v="PROD005"/>
    <n v="1"/>
    <n v="292.33999999999997"/>
    <x v="0"/>
    <x v="4"/>
    <d v="2023-03-12T00:00:00"/>
    <x v="4"/>
  </r>
  <r>
    <s v="ORD0343"/>
    <d v="2024-03-21T00:00:00"/>
    <x v="3"/>
    <x v="57"/>
    <s v="PROD035"/>
    <n v="1"/>
    <n v="87.14"/>
    <x v="0"/>
    <x v="0"/>
    <d v="2023-04-12T00:00:00"/>
    <x v="9"/>
  </r>
  <r>
    <s v="ORD0344"/>
    <d v="2024-03-23T00:00:00"/>
    <x v="3"/>
    <x v="108"/>
    <s v="PROD010"/>
    <n v="3"/>
    <n v="1299.8399999999999"/>
    <x v="3"/>
    <x v="5"/>
    <d v="2023-04-19T00:00:00"/>
    <x v="9"/>
  </r>
  <r>
    <s v="ORD0345"/>
    <d v="2024-04-13T00:00:00"/>
    <x v="5"/>
    <x v="29"/>
    <s v="PROD005"/>
    <n v="1"/>
    <n v="292.33999999999997"/>
    <x v="0"/>
    <x v="5"/>
    <d v="2023-05-21T00:00:00"/>
    <x v="5"/>
  </r>
  <r>
    <s v="ORD0346"/>
    <d v="2024-01-01T00:00:00"/>
    <x v="0"/>
    <x v="45"/>
    <s v="PROD015"/>
    <n v="5"/>
    <n v="1363.9"/>
    <x v="2"/>
    <x v="3"/>
    <d v="2023-10-23T00:00:00"/>
    <x v="0"/>
  </r>
  <r>
    <s v="ORD0347"/>
    <d v="2024-04-28T00:00:00"/>
    <x v="5"/>
    <x v="111"/>
    <s v="PROD019"/>
    <n v="5"/>
    <n v="289.89999999999998"/>
    <x v="0"/>
    <x v="4"/>
    <d v="2023-12-24T00:00:00"/>
    <x v="6"/>
  </r>
  <r>
    <s v="ORD0348"/>
    <d v="2024-01-14T00:00:00"/>
    <x v="0"/>
    <x v="37"/>
    <s v="PROD036"/>
    <n v="4"/>
    <n v="197"/>
    <x v="0"/>
    <x v="4"/>
    <d v="2023-05-16T00:00:00"/>
    <x v="5"/>
  </r>
  <r>
    <s v="ORD0349"/>
    <d v="2024-05-12T00:00:00"/>
    <x v="2"/>
    <x v="60"/>
    <s v="PROD036"/>
    <n v="2"/>
    <n v="98.5"/>
    <x v="0"/>
    <x v="5"/>
    <d v="2023-01-24T00:00:00"/>
    <x v="2"/>
  </r>
  <r>
    <s v="ORD0350"/>
    <d v="2024-06-08T00:00:00"/>
    <x v="1"/>
    <x v="97"/>
    <s v="PROD023"/>
    <n v="3"/>
    <n v="737.61"/>
    <x v="3"/>
    <x v="0"/>
    <d v="2023-05-16T00:00:00"/>
    <x v="5"/>
  </r>
  <r>
    <s v="ORD0351"/>
    <d v="2024-06-09T00:00:00"/>
    <x v="1"/>
    <x v="91"/>
    <s v="PROD030"/>
    <n v="4"/>
    <n v="466.68"/>
    <x v="1"/>
    <x v="3"/>
    <d v="2023-06-26T00:00:00"/>
    <x v="3"/>
  </r>
  <r>
    <s v="ORD0352"/>
    <d v="2024-01-14T00:00:00"/>
    <x v="0"/>
    <x v="22"/>
    <s v="PROD040"/>
    <n v="4"/>
    <n v="522.6"/>
    <x v="0"/>
    <x v="1"/>
    <d v="2023-02-27T00:00:00"/>
    <x v="1"/>
  </r>
  <r>
    <s v="ORD0353"/>
    <d v="2024-03-09T00:00:00"/>
    <x v="3"/>
    <x v="1"/>
    <s v="PROD002"/>
    <n v="2"/>
    <n v="523.88"/>
    <x v="4"/>
    <x v="1"/>
    <d v="2023-02-28T00:00:00"/>
    <x v="1"/>
  </r>
  <r>
    <s v="ORD0354"/>
    <d v="2024-02-03T00:00:00"/>
    <x v="4"/>
    <x v="114"/>
    <s v="PROD001"/>
    <n v="5"/>
    <n v="2156.1"/>
    <x v="4"/>
    <x v="5"/>
    <d v="2023-06-11T00:00:00"/>
    <x v="3"/>
  </r>
  <r>
    <s v="ORD0355"/>
    <d v="2024-04-22T00:00:00"/>
    <x v="5"/>
    <x v="109"/>
    <s v="PROD005"/>
    <n v="3"/>
    <n v="877.02"/>
    <x v="0"/>
    <x v="3"/>
    <d v="2023-07-24T00:00:00"/>
    <x v="11"/>
  </r>
  <r>
    <s v="ORD0356"/>
    <d v="2024-02-01T00:00:00"/>
    <x v="4"/>
    <x v="51"/>
    <s v="PROD038"/>
    <n v="4"/>
    <n v="1363.4"/>
    <x v="4"/>
    <x v="4"/>
    <d v="2023-02-02T00:00:00"/>
    <x v="1"/>
  </r>
  <r>
    <s v="ORD0357"/>
    <d v="2024-06-10T00:00:00"/>
    <x v="1"/>
    <x v="22"/>
    <s v="PROD032"/>
    <n v="1"/>
    <n v="39.869999999999997"/>
    <x v="0"/>
    <x v="1"/>
    <d v="2023-02-27T00:00:00"/>
    <x v="1"/>
  </r>
  <r>
    <s v="ORD0358"/>
    <d v="2024-03-02T00:00:00"/>
    <x v="3"/>
    <x v="62"/>
    <s v="PROD028"/>
    <n v="5"/>
    <n v="1671.6"/>
    <x v="0"/>
    <x v="1"/>
    <d v="2023-12-19T00:00:00"/>
    <x v="6"/>
  </r>
  <r>
    <s v="ORD0359"/>
    <d v="2024-03-20T00:00:00"/>
    <x v="3"/>
    <x v="38"/>
    <s v="PROD032"/>
    <n v="2"/>
    <n v="79.739999999999995"/>
    <x v="0"/>
    <x v="1"/>
    <d v="2023-06-16T00:00:00"/>
    <x v="3"/>
  </r>
  <r>
    <s v="ORD0360"/>
    <d v="2024-01-04T00:00:00"/>
    <x v="0"/>
    <x v="89"/>
    <s v="PROD024"/>
    <n v="5"/>
    <n v="2261"/>
    <x v="3"/>
    <x v="3"/>
    <d v="2023-09-28T00:00:0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F42F3-2D18-4AEF-BF16-97893A82FF57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26:L142" firstHeaderRow="0" firstDataRow="1" firstDataCol="1"/>
  <pivotFields count="11">
    <pivotField dataField="1" showAll="0"/>
    <pivotField numFmtId="14" showAll="0"/>
    <pivotField showAll="0"/>
    <pivotField axis="axisRow" showAll="0" sortType="descending">
      <items count="116">
        <item x="22"/>
        <item x="29"/>
        <item x="52"/>
        <item x="106"/>
        <item x="44"/>
        <item x="7"/>
        <item x="75"/>
        <item x="69"/>
        <item x="63"/>
        <item x="83"/>
        <item x="49"/>
        <item x="113"/>
        <item x="33"/>
        <item x="73"/>
        <item x="86"/>
        <item x="111"/>
        <item x="4"/>
        <item x="84"/>
        <item x="81"/>
        <item x="8"/>
        <item x="95"/>
        <item x="91"/>
        <item x="97"/>
        <item x="11"/>
        <item x="77"/>
        <item x="21"/>
        <item x="74"/>
        <item x="45"/>
        <item x="28"/>
        <item x="60"/>
        <item x="107"/>
        <item x="24"/>
        <item x="55"/>
        <item x="65"/>
        <item x="5"/>
        <item x="101"/>
        <item x="98"/>
        <item x="9"/>
        <item x="41"/>
        <item x="13"/>
        <item x="100"/>
        <item x="79"/>
        <item x="66"/>
        <item x="71"/>
        <item x="62"/>
        <item x="14"/>
        <item x="38"/>
        <item x="92"/>
        <item x="114"/>
        <item x="12"/>
        <item x="108"/>
        <item x="110"/>
        <item x="23"/>
        <item x="78"/>
        <item x="37"/>
        <item x="6"/>
        <item x="19"/>
        <item x="54"/>
        <item x="64"/>
        <item x="67"/>
        <item x="48"/>
        <item x="80"/>
        <item x="96"/>
        <item x="61"/>
        <item x="102"/>
        <item x="16"/>
        <item x="85"/>
        <item x="31"/>
        <item x="90"/>
        <item x="47"/>
        <item x="82"/>
        <item x="1"/>
        <item x="99"/>
        <item x="50"/>
        <item x="15"/>
        <item x="34"/>
        <item x="26"/>
        <item x="17"/>
        <item x="43"/>
        <item x="42"/>
        <item x="36"/>
        <item x="58"/>
        <item x="57"/>
        <item x="27"/>
        <item x="112"/>
        <item x="2"/>
        <item x="30"/>
        <item x="93"/>
        <item x="59"/>
        <item x="105"/>
        <item x="40"/>
        <item x="3"/>
        <item x="25"/>
        <item x="32"/>
        <item x="35"/>
        <item x="46"/>
        <item x="18"/>
        <item x="89"/>
        <item x="20"/>
        <item x="72"/>
        <item x="68"/>
        <item x="56"/>
        <item x="109"/>
        <item x="103"/>
        <item x="10"/>
        <item x="53"/>
        <item x="87"/>
        <item x="51"/>
        <item x="76"/>
        <item x="0"/>
        <item x="39"/>
        <item x="104"/>
        <item x="94"/>
        <item x="70"/>
        <item x="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dataField="1" numFmtId="2" showAll="0"/>
    <pivotField showAll="0"/>
    <pivotField showAll="0"/>
    <pivotField numFmtId="14" showAll="0"/>
    <pivotField showAll="0"/>
  </pivotFields>
  <rowFields count="1">
    <field x="3"/>
  </rowFields>
  <rowItems count="116">
    <i>
      <x v="4"/>
    </i>
    <i>
      <x v="91"/>
    </i>
    <i>
      <x v="109"/>
    </i>
    <i>
      <x v="85"/>
    </i>
    <i>
      <x v="77"/>
    </i>
    <i>
      <x v="27"/>
    </i>
    <i>
      <x v="44"/>
    </i>
    <i>
      <x v="54"/>
    </i>
    <i>
      <x v="38"/>
    </i>
    <i>
      <x v="61"/>
    </i>
    <i>
      <x v="13"/>
    </i>
    <i>
      <x v="16"/>
    </i>
    <i>
      <x v="88"/>
    </i>
    <i>
      <x v="93"/>
    </i>
    <i>
      <x v="63"/>
    </i>
    <i>
      <x v="20"/>
    </i>
    <i>
      <x v="81"/>
    </i>
    <i>
      <x v="46"/>
    </i>
    <i>
      <x v="100"/>
    </i>
    <i>
      <x v="97"/>
    </i>
    <i>
      <x v="26"/>
    </i>
    <i>
      <x v="45"/>
    </i>
    <i>
      <x v="39"/>
    </i>
    <i>
      <x v="79"/>
    </i>
    <i>
      <x v="6"/>
    </i>
    <i>
      <x v="23"/>
    </i>
    <i>
      <x v="22"/>
    </i>
    <i>
      <x v="12"/>
    </i>
    <i>
      <x v="82"/>
    </i>
    <i>
      <x v="14"/>
    </i>
    <i>
      <x v="104"/>
    </i>
    <i>
      <x v="94"/>
    </i>
    <i>
      <x v="5"/>
    </i>
    <i>
      <x v="74"/>
    </i>
    <i>
      <x v="110"/>
    </i>
    <i>
      <x v="42"/>
    </i>
    <i>
      <x v="7"/>
    </i>
    <i>
      <x v="33"/>
    </i>
    <i>
      <x v="111"/>
    </i>
    <i>
      <x v="98"/>
    </i>
    <i>
      <x v="96"/>
    </i>
    <i>
      <x v="18"/>
    </i>
    <i>
      <x v="106"/>
    </i>
    <i>
      <x v="37"/>
    </i>
    <i>
      <x v="15"/>
    </i>
    <i>
      <x v="95"/>
    </i>
    <i>
      <x v="60"/>
    </i>
    <i>
      <x v="73"/>
    </i>
    <i>
      <x v="105"/>
    </i>
    <i>
      <x v="21"/>
    </i>
    <i>
      <x/>
    </i>
    <i>
      <x v="48"/>
    </i>
    <i>
      <x v="108"/>
    </i>
    <i>
      <x v="19"/>
    </i>
    <i>
      <x v="51"/>
    </i>
    <i>
      <x v="71"/>
    </i>
    <i>
      <x v="58"/>
    </i>
    <i>
      <x v="1"/>
    </i>
    <i>
      <x v="113"/>
    </i>
    <i>
      <x v="10"/>
    </i>
    <i>
      <x v="43"/>
    </i>
    <i>
      <x v="56"/>
    </i>
    <i>
      <x v="101"/>
    </i>
    <i>
      <x v="107"/>
    </i>
    <i>
      <x v="70"/>
    </i>
    <i>
      <x v="65"/>
    </i>
    <i>
      <x v="57"/>
    </i>
    <i>
      <x v="83"/>
    </i>
    <i>
      <x v="24"/>
    </i>
    <i>
      <x v="28"/>
    </i>
    <i>
      <x v="50"/>
    </i>
    <i>
      <x v="8"/>
    </i>
    <i>
      <x v="52"/>
    </i>
    <i>
      <x v="2"/>
    </i>
    <i>
      <x v="41"/>
    </i>
    <i>
      <x v="112"/>
    </i>
    <i>
      <x v="89"/>
    </i>
    <i>
      <x v="86"/>
    </i>
    <i>
      <x v="32"/>
    </i>
    <i>
      <x v="68"/>
    </i>
    <i>
      <x v="72"/>
    </i>
    <i>
      <x v="67"/>
    </i>
    <i>
      <x v="92"/>
    </i>
    <i>
      <x v="102"/>
    </i>
    <i>
      <x v="76"/>
    </i>
    <i>
      <x v="78"/>
    </i>
    <i>
      <x v="69"/>
    </i>
    <i>
      <x v="40"/>
    </i>
    <i>
      <x v="64"/>
    </i>
    <i>
      <x v="53"/>
    </i>
    <i>
      <x v="47"/>
    </i>
    <i>
      <x v="29"/>
    </i>
    <i>
      <x v="34"/>
    </i>
    <i>
      <x v="75"/>
    </i>
    <i>
      <x v="90"/>
    </i>
    <i>
      <x v="55"/>
    </i>
    <i>
      <x v="31"/>
    </i>
    <i>
      <x v="59"/>
    </i>
    <i>
      <x v="11"/>
    </i>
    <i>
      <x v="84"/>
    </i>
    <i>
      <x v="87"/>
    </i>
    <i>
      <x v="36"/>
    </i>
    <i>
      <x v="9"/>
    </i>
    <i>
      <x v="49"/>
    </i>
    <i>
      <x v="62"/>
    </i>
    <i>
      <x v="30"/>
    </i>
    <i>
      <x v="35"/>
    </i>
    <i>
      <x v="66"/>
    </i>
    <i>
      <x v="80"/>
    </i>
    <i>
      <x v="114"/>
    </i>
    <i>
      <x v="99"/>
    </i>
    <i>
      <x v="3"/>
    </i>
    <i>
      <x v="25"/>
    </i>
    <i>
      <x v="103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Amount" fld="6" baseField="3" baseItem="0"/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F6C5C-6AD7-4676-8400-6CB74C73166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3:D113" firstHeaderRow="1" firstDataRow="1" firstDataCol="1"/>
  <pivotFields count="11">
    <pivotField dataField="1" showAll="0"/>
    <pivotField numFmtId="14" showAll="0"/>
    <pivotField showAll="0"/>
    <pivotField axis="axisRow" showAll="0" measureFilter="1" sortType="ascending">
      <items count="116">
        <item x="22"/>
        <item x="29"/>
        <item x="52"/>
        <item x="106"/>
        <item x="44"/>
        <item x="7"/>
        <item x="75"/>
        <item x="69"/>
        <item x="63"/>
        <item x="83"/>
        <item x="49"/>
        <item x="113"/>
        <item x="33"/>
        <item x="73"/>
        <item x="86"/>
        <item x="111"/>
        <item x="4"/>
        <item x="84"/>
        <item x="81"/>
        <item x="8"/>
        <item x="95"/>
        <item x="91"/>
        <item x="97"/>
        <item x="11"/>
        <item x="77"/>
        <item x="21"/>
        <item x="74"/>
        <item x="45"/>
        <item x="28"/>
        <item x="60"/>
        <item x="107"/>
        <item x="24"/>
        <item x="55"/>
        <item x="65"/>
        <item x="5"/>
        <item x="101"/>
        <item x="98"/>
        <item x="9"/>
        <item x="41"/>
        <item x="13"/>
        <item x="100"/>
        <item x="79"/>
        <item x="66"/>
        <item x="71"/>
        <item x="62"/>
        <item x="14"/>
        <item x="38"/>
        <item x="92"/>
        <item x="114"/>
        <item x="12"/>
        <item x="108"/>
        <item x="110"/>
        <item x="23"/>
        <item x="78"/>
        <item x="37"/>
        <item x="6"/>
        <item x="19"/>
        <item x="54"/>
        <item x="64"/>
        <item x="67"/>
        <item x="48"/>
        <item x="80"/>
        <item x="96"/>
        <item x="61"/>
        <item x="102"/>
        <item x="16"/>
        <item x="85"/>
        <item x="31"/>
        <item x="90"/>
        <item x="47"/>
        <item x="82"/>
        <item x="1"/>
        <item x="99"/>
        <item x="50"/>
        <item x="15"/>
        <item x="34"/>
        <item x="26"/>
        <item x="17"/>
        <item x="43"/>
        <item x="42"/>
        <item x="36"/>
        <item x="58"/>
        <item x="57"/>
        <item x="27"/>
        <item x="112"/>
        <item x="2"/>
        <item x="30"/>
        <item x="93"/>
        <item x="59"/>
        <item x="105"/>
        <item x="40"/>
        <item x="3"/>
        <item x="25"/>
        <item x="32"/>
        <item x="35"/>
        <item x="46"/>
        <item x="18"/>
        <item x="89"/>
        <item x="20"/>
        <item x="72"/>
        <item x="68"/>
        <item x="56"/>
        <item x="109"/>
        <item x="103"/>
        <item x="10"/>
        <item x="53"/>
        <item x="87"/>
        <item x="51"/>
        <item x="76"/>
        <item x="0"/>
        <item x="39"/>
        <item x="104"/>
        <item x="94"/>
        <item x="70"/>
        <item x="88"/>
        <item t="default"/>
      </items>
    </pivotField>
    <pivotField showAll="0"/>
    <pivotField numFmtId="1" showAll="0"/>
    <pivotField numFmtId="2" showAll="0"/>
    <pivotField showAll="0"/>
    <pivotField showAll="0"/>
    <pivotField numFmtId="14" showAll="0"/>
    <pivotField showAll="0"/>
  </pivotFields>
  <rowFields count="1">
    <field x="3"/>
  </rowFields>
  <rowItems count="100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0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filters count="1">
    <filter fld="3" type="valueGreaterThan" evalOrder="-1" id="2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B915B-1269-4A15-8097-1DB821599AB3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 rowHeaderCaption="signupmonth">
  <location ref="G24:H38" firstHeaderRow="1" firstDataRow="1" firstDataCol="1"/>
  <pivotFields count="11">
    <pivotField showAll="0"/>
    <pivotField numFmtId="14" showAll="0"/>
    <pivotField showAll="0"/>
    <pivotField dataField="1" showAll="0"/>
    <pivotField showAll="0"/>
    <pivotField numFmtId="1" showAll="0"/>
    <pivotField numFmtId="2" showAll="0"/>
    <pivotField showAll="0"/>
    <pivotField showAll="0"/>
    <pivotField numFmtId="14" showAll="0"/>
    <pivotField axis="axisRow" showAll="0">
      <items count="39">
        <item m="1" x="18"/>
        <item m="1" x="20"/>
        <item m="1" x="31"/>
        <item m="1" x="24"/>
        <item m="1" x="36"/>
        <item m="1" x="33"/>
        <item m="1" x="30"/>
        <item m="1" x="32"/>
        <item m="1" x="16"/>
        <item m="1" x="29"/>
        <item m="1" x="27"/>
        <item m="1" x="28"/>
        <item m="1" x="15"/>
        <item m="1" x="35"/>
        <item m="1" x="19"/>
        <item m="1" x="13"/>
        <item m="1" x="22"/>
        <item m="1" x="23"/>
        <item m="1" x="17"/>
        <item m="1" x="14"/>
        <item m="1" x="34"/>
        <item m="1" x="37"/>
        <item m="1" x="26"/>
        <item m="1" x="25"/>
        <item m="1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0"/>
  </rowFields>
  <rowItems count="14"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Count of CustomerID" fld="3" subtotal="count" baseField="0" baseItem="0"/>
  </dataFields>
  <chartFormats count="1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6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7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8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9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35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6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4D7D8-8FA8-407F-9079-7A138AE1A13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4:K21" firstHeaderRow="1" firstDataRow="1" firstDataCol="1"/>
  <pivotFields count="11">
    <pivotField showAll="0"/>
    <pivotField numFmtId="14" showAll="0"/>
    <pivotField showAll="0"/>
    <pivotField showAll="0"/>
    <pivotField showAll="0"/>
    <pivotField numFmtId="1" showAll="0"/>
    <pivotField dataField="1" numFmtId="2" showAll="0"/>
    <pivotField showAll="0"/>
    <pivotField axis="axisRow" showAll="0">
      <items count="7">
        <item x="0"/>
        <item x="1"/>
        <item x="5"/>
        <item x="4"/>
        <item x="2"/>
        <item x="3"/>
        <item t="default"/>
      </items>
    </pivotField>
    <pivotField numFmtId="14"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FA2CC-3EDC-408F-A5F5-CCECCDB2AA71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D2:E9" firstHeaderRow="1" firstDataRow="1" firstDataCol="1"/>
  <pivotFields count="11">
    <pivotField showAll="0"/>
    <pivotField numFmtId="14" showAll="0"/>
    <pivotField axis="axisRow" showAll="0">
      <items count="7">
        <item x="0"/>
        <item x="4"/>
        <item x="3"/>
        <item x="5"/>
        <item x="2"/>
        <item x="1"/>
        <item t="default"/>
      </items>
    </pivotField>
    <pivotField showAll="0"/>
    <pivotField showAll="0"/>
    <pivotField numFmtId="1" showAll="0"/>
    <pivotField dataField="1" numFmtId="2" showAll="0"/>
    <pivotField showAll="0"/>
    <pivotField showAll="0"/>
    <pivotField numFmtId="14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Amount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1B8B0-E19F-4538-80E6-B67C8391FA91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39:S155" firstHeaderRow="0" firstDataRow="1" firstDataCol="1"/>
  <pivotFields count="11">
    <pivotField dataField="1" showAll="0"/>
    <pivotField dataField="1" numFmtId="14" showAll="0"/>
    <pivotField showAll="0"/>
    <pivotField axis="axisRow" showAll="0">
      <items count="116">
        <item x="22"/>
        <item x="29"/>
        <item x="52"/>
        <item x="106"/>
        <item x="44"/>
        <item x="7"/>
        <item x="75"/>
        <item x="69"/>
        <item x="63"/>
        <item x="83"/>
        <item x="49"/>
        <item x="113"/>
        <item x="33"/>
        <item x="73"/>
        <item x="86"/>
        <item x="111"/>
        <item x="4"/>
        <item x="84"/>
        <item x="81"/>
        <item x="8"/>
        <item x="95"/>
        <item x="91"/>
        <item x="97"/>
        <item x="11"/>
        <item x="77"/>
        <item x="21"/>
        <item x="74"/>
        <item x="45"/>
        <item x="28"/>
        <item x="60"/>
        <item x="107"/>
        <item x="24"/>
        <item x="55"/>
        <item x="65"/>
        <item x="5"/>
        <item x="101"/>
        <item x="98"/>
        <item x="9"/>
        <item x="41"/>
        <item x="13"/>
        <item x="100"/>
        <item x="79"/>
        <item x="66"/>
        <item x="71"/>
        <item x="62"/>
        <item x="14"/>
        <item x="38"/>
        <item x="92"/>
        <item x="114"/>
        <item x="12"/>
        <item x="108"/>
        <item x="110"/>
        <item x="23"/>
        <item x="78"/>
        <item x="37"/>
        <item x="6"/>
        <item x="19"/>
        <item x="54"/>
        <item x="64"/>
        <item x="67"/>
        <item x="48"/>
        <item x="80"/>
        <item x="96"/>
        <item x="61"/>
        <item x="102"/>
        <item x="16"/>
        <item x="85"/>
        <item x="31"/>
        <item x="90"/>
        <item x="47"/>
        <item x="82"/>
        <item x="1"/>
        <item x="99"/>
        <item x="50"/>
        <item x="15"/>
        <item x="34"/>
        <item x="26"/>
        <item x="17"/>
        <item x="43"/>
        <item x="42"/>
        <item x="36"/>
        <item x="58"/>
        <item x="57"/>
        <item x="27"/>
        <item x="112"/>
        <item x="2"/>
        <item x="30"/>
        <item x="93"/>
        <item x="59"/>
        <item x="105"/>
        <item x="40"/>
        <item x="3"/>
        <item x="25"/>
        <item x="32"/>
        <item x="35"/>
        <item x="46"/>
        <item x="18"/>
        <item x="89"/>
        <item x="20"/>
        <item x="72"/>
        <item x="68"/>
        <item x="56"/>
        <item x="109"/>
        <item x="103"/>
        <item x="10"/>
        <item x="53"/>
        <item x="87"/>
        <item x="51"/>
        <item x="76"/>
        <item x="0"/>
        <item x="39"/>
        <item x="104"/>
        <item x="94"/>
        <item x="70"/>
        <item x="88"/>
        <item t="default"/>
      </items>
    </pivotField>
    <pivotField showAll="0"/>
    <pivotField numFmtId="1" showAll="0"/>
    <pivotField numFmtId="2" showAll="0"/>
    <pivotField showAll="0"/>
    <pivotField showAll="0"/>
    <pivotField numFmtId="14" showAll="0"/>
    <pivotField showAll="0"/>
  </pivotFields>
  <rowFields count="1">
    <field x="3"/>
  </rowFields>
  <rowItems count="1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Order date" fld="1" subtotal="max" baseField="3" baseItem="0"/>
    <dataField name="Min of Order date" fld="1" subtotal="min" baseField="3" baseItem="0"/>
    <dataField name="Count of OrderID" fld="0" subtotal="count" baseField="0" baseItem="0"/>
  </dataFields>
  <formats count="2">
    <format dxfId="1">
      <pivotArea dataOnly="0" outline="0" fieldPosition="0">
        <references count="1">
          <reference field="4294967294" count="1">
            <x v="0"/>
          </reference>
        </references>
      </pivotArea>
    </format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F13A4-B966-446F-9001-CC46238B6B9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14:H20" firstHeaderRow="1" firstDataRow="1" firstDataCol="1"/>
  <pivotFields count="11">
    <pivotField showAll="0"/>
    <pivotField numFmtId="14" showAll="0"/>
    <pivotField showAll="0"/>
    <pivotField showAll="0"/>
    <pivotField showAll="0"/>
    <pivotField numFmtId="1" showAll="0"/>
    <pivotField dataField="1" numFmtId="2"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numFmtId="14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70B30-1B0A-4A8E-82F8-6655AC6F0D4F}" name="Table1" displayName="Table1" ref="A1:L361" totalsRowShown="0" headerRowBorderDxfId="19" tableBorderDxfId="18">
  <autoFilter ref="A1:L361" xr:uid="{8DC70B30-1B0A-4A8E-82F8-6655AC6F0D4F}"/>
  <tableColumns count="12">
    <tableColumn id="1" xr3:uid="{9667C806-8D89-4E9C-9039-3EC3CAD2DD49}" name="OrderID"/>
    <tableColumn id="2" xr3:uid="{59EB0A8D-C538-4C18-B9C4-A706E977452B}" name="Order date" dataDxfId="17"/>
    <tableColumn id="3" xr3:uid="{15B5BB29-DCFC-4E57-B4E1-7A6BE8289AFF}" name="Order Month" dataDxfId="16">
      <calculatedColumnFormula>TEXT(B2, "mmm")</calculatedColumnFormula>
    </tableColumn>
    <tableColumn id="4" xr3:uid="{8E7EB70B-B80A-43B5-8F63-284B68AD38AD}" name="CustomerID"/>
    <tableColumn id="5" xr3:uid="{72ABCC2B-C764-4529-91EE-423371121B30}" name="ProductID"/>
    <tableColumn id="6" xr3:uid="{E4764B76-14DD-4474-97EF-B564F3027CA4}" name="Quantity" dataDxfId="15"/>
    <tableColumn id="7" xr3:uid="{5CCA6BFB-18A8-4A05-B031-6F4470BA66C4}" name="SalesAmount" dataDxfId="14"/>
    <tableColumn id="9" xr3:uid="{E6907F88-CA8B-4FC5-9BDB-B83489CF953F}" name="Category" dataDxfId="13">
      <calculatedColumnFormula>VLOOKUP(Sales!E:E, Table2[#All], 3,FALSE)</calculatedColumnFormula>
    </tableColumn>
    <tableColumn id="10" xr3:uid="{76A46EC4-985F-41BA-A866-304E80883601}" name="Country" dataDxfId="12">
      <calculatedColumnFormula>VLOOKUP(D:D,Table3[#All], 4, FALSE)</calculatedColumnFormula>
    </tableColumn>
    <tableColumn id="12" xr3:uid="{FBC8F183-2A43-42EE-B930-98FF1FF5913A}" name="SIGNUPDATE" dataDxfId="11">
      <calculatedColumnFormula>VLOOKUP(D:D,Table3[#All], 5, FALSE)</calculatedColumnFormula>
    </tableColumn>
    <tableColumn id="11" xr3:uid="{C16343F6-1ECF-49E0-8153-F8E40A09B9D8}" name="SIGNUPMONTH" dataDxfId="10">
      <calculatedColumnFormula>TEXT(Table1[[#This Row],[SIGNUPDATE]], "mmm, yy")</calculatedColumnFormula>
    </tableColumn>
    <tableColumn id="13" xr3:uid="{72FEB773-CA29-40CF-98A2-1D851410198A}" name="Column1" dataDxfId="9">
      <calculatedColumnFormula>IFERROR(VLOOKUP(D:D,Customer_info!A:A, 1, FALSE), "Not found")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8166A7-C5D9-4E44-9B85-7DEAC6562EFA}" name="Table2" displayName="Table2" ref="A1:D41" totalsRowShown="0" headerRowDxfId="8" headerRowBorderDxfId="7" tableBorderDxfId="6">
  <autoFilter ref="A1:D41" xr:uid="{308166A7-C5D9-4E44-9B85-7DEAC6562EFA}"/>
  <tableColumns count="4">
    <tableColumn id="1" xr3:uid="{940D82B3-EB22-4559-825A-42F5FA764001}" name="ProductID"/>
    <tableColumn id="2" xr3:uid="{CA9EAB9B-1A5E-4F5B-89A4-AA35CDE2C2D6}" name="ProductName"/>
    <tableColumn id="3" xr3:uid="{2977B8CB-5BC9-408F-8CE2-344CE46D850C}" name="Category"/>
    <tableColumn id="4" xr3:uid="{ACA922A6-9186-405C-8A6C-EA6B80E111D5}" name="Unit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B7A095-28FC-4C9A-9B0E-801BD22B1F53}" name="Table3" displayName="Table3" ref="A1:E121" totalsRowShown="0" headerRowDxfId="5" headerRowBorderDxfId="4" tableBorderDxfId="3">
  <autoFilter ref="A1:E121" xr:uid="{0AB7A095-28FC-4C9A-9B0E-801BD22B1F53}"/>
  <tableColumns count="5">
    <tableColumn id="1" xr3:uid="{49DC2474-78F5-48A0-A84E-ECFC0F4FFC41}" name="CustomerID"/>
    <tableColumn id="2" xr3:uid="{3153A444-CEA6-4C52-BF1E-D1AB762A6D9D}" name="CustomerName"/>
    <tableColumn id="3" xr3:uid="{7F26D891-5BE0-4CEF-99C0-674A77290B95}" name="Email"/>
    <tableColumn id="4" xr3:uid="{70D675F7-CEDA-46EE-802D-196A9AC92FB3}" name="Country"/>
    <tableColumn id="5" xr3:uid="{E533C75E-1E1C-44BA-B78D-87D2AC011CB0}" name="Signup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C909-E9CD-41BA-A6CC-A8B6EE58C99D}">
  <dimension ref="A1:M361"/>
  <sheetViews>
    <sheetView topLeftCell="B1" workbookViewId="0">
      <selection activeCell="N10" sqref="N10"/>
    </sheetView>
  </sheetViews>
  <sheetFormatPr defaultRowHeight="14.25"/>
  <cols>
    <col min="1" max="1" width="9.125" bestFit="1" customWidth="1"/>
    <col min="2" max="2" width="11.125" style="2" customWidth="1"/>
    <col min="3" max="3" width="13" bestFit="1" customWidth="1"/>
    <col min="4" max="4" width="11.875" customWidth="1"/>
    <col min="5" max="5" width="10.375" customWidth="1"/>
    <col min="6" max="6" width="9.5" style="4" customWidth="1"/>
    <col min="7" max="7" width="13" style="3" customWidth="1"/>
    <col min="8" max="9" width="12.5" style="3" customWidth="1"/>
    <col min="10" max="11" width="12.5" style="2" customWidth="1"/>
    <col min="12" max="12" width="11.75" style="2" bestFit="1" customWidth="1"/>
    <col min="13" max="13" width="11.75" style="2" customWidth="1"/>
    <col min="14" max="14" width="11.75" customWidth="1"/>
    <col min="15" max="15" width="13.125" bestFit="1" customWidth="1"/>
    <col min="16" max="16" width="16.25" bestFit="1" customWidth="1"/>
    <col min="17" max="17" width="9.125" bestFit="1" customWidth="1"/>
    <col min="18" max="18" width="10.5" customWidth="1"/>
    <col min="19" max="375" width="9.125" bestFit="1" customWidth="1"/>
    <col min="376" max="376" width="11.375" bestFit="1" customWidth="1"/>
  </cols>
  <sheetData>
    <row r="1" spans="1:13" ht="15">
      <c r="A1" s="5" t="s">
        <v>0</v>
      </c>
      <c r="B1" s="6" t="s">
        <v>824</v>
      </c>
      <c r="C1" s="7" t="s">
        <v>825</v>
      </c>
      <c r="D1" s="5" t="s">
        <v>1</v>
      </c>
      <c r="E1" s="5" t="s">
        <v>2</v>
      </c>
      <c r="F1" s="8" t="s">
        <v>3</v>
      </c>
      <c r="G1" s="9" t="s">
        <v>4</v>
      </c>
      <c r="H1" s="13" t="s">
        <v>521</v>
      </c>
      <c r="I1" s="13" t="s">
        <v>570</v>
      </c>
      <c r="J1" s="14" t="s">
        <v>848</v>
      </c>
      <c r="K1" s="14" t="s">
        <v>849</v>
      </c>
      <c r="L1" s="14" t="s">
        <v>846</v>
      </c>
      <c r="M1" s="15"/>
    </row>
    <row r="2" spans="1:13">
      <c r="A2" t="s">
        <v>5</v>
      </c>
      <c r="B2" s="2">
        <v>45302</v>
      </c>
      <c r="C2" s="1" t="str">
        <f>TEXT(B2, "mmm")</f>
        <v>Jan</v>
      </c>
      <c r="D2" t="s">
        <v>6</v>
      </c>
      <c r="E2" t="s">
        <v>7</v>
      </c>
      <c r="F2" s="4">
        <v>5</v>
      </c>
      <c r="G2" s="3">
        <v>2098.25</v>
      </c>
      <c r="H2" s="3" t="str">
        <f>VLOOKUP(Sales!E:E, Table2[#All], 3,FALSE)</f>
        <v>Sports</v>
      </c>
      <c r="I2" s="3" t="str">
        <f>VLOOKUP(D:D,Table3[#All], 4, FALSE)</f>
        <v>Canada</v>
      </c>
      <c r="J2" s="2">
        <f>VLOOKUP(D:D,Table3[#All], 5, FALSE)</f>
        <v>45210</v>
      </c>
      <c r="K2" s="2" t="str">
        <f>TEXT(Table1[[#This Row],[SIGNUPDATE]], "mmm, yy")</f>
        <v>Oct, 23</v>
      </c>
      <c r="L2" s="3" t="str">
        <f>IFERROR(VLOOKUP(D:D,Customer_info!A:A, 1, FALSE), "Not found")</f>
        <v>CUST115</v>
      </c>
      <c r="M2" s="3"/>
    </row>
    <row r="3" spans="1:13">
      <c r="A3" t="s">
        <v>8</v>
      </c>
      <c r="B3" s="2">
        <v>45312</v>
      </c>
      <c r="C3" s="1" t="str">
        <f>TEXT(B3, "mmm")</f>
        <v>Jan</v>
      </c>
      <c r="D3" t="s">
        <v>9</v>
      </c>
      <c r="E3" t="s">
        <v>10</v>
      </c>
      <c r="F3" s="4">
        <v>5</v>
      </c>
      <c r="G3" s="3">
        <v>199.35</v>
      </c>
      <c r="H3" s="3" t="str">
        <f>VLOOKUP(Sales!E:E, Table2[#All], 3,FALSE)</f>
        <v>Sports</v>
      </c>
      <c r="I3" s="3" t="str">
        <f>VLOOKUP(D:D,Table3[#All], 4, FALSE)</f>
        <v>India</v>
      </c>
      <c r="J3" s="2">
        <f>VLOOKUP(D:D,Table3[#All], 5, FALSE)</f>
        <v>44985</v>
      </c>
      <c r="K3" s="2" t="str">
        <f>TEXT(Table1[[#This Row],[SIGNUPDATE]], "mmm, yy")</f>
        <v>Feb, 23</v>
      </c>
      <c r="L3" s="3" t="str">
        <f>IFERROR(VLOOKUP(D:D,Customer_info!A:A, 1, FALSE), "Not found")</f>
        <v>CUST077</v>
      </c>
      <c r="M3" s="3"/>
    </row>
    <row r="4" spans="1:13">
      <c r="A4" t="s">
        <v>11</v>
      </c>
      <c r="B4" s="2">
        <v>45460</v>
      </c>
      <c r="C4" s="1" t="str">
        <f t="shared" ref="C4:C67" si="0">TEXT(B4, "mmm")</f>
        <v>Jun</v>
      </c>
      <c r="D4" t="s">
        <v>12</v>
      </c>
      <c r="E4" t="s">
        <v>13</v>
      </c>
      <c r="F4" s="4">
        <v>4</v>
      </c>
      <c r="G4" s="3">
        <v>946.76</v>
      </c>
      <c r="H4" s="3" t="str">
        <f>VLOOKUP(Sales!E:E, Table2[#All], 3,FALSE)</f>
        <v>Home</v>
      </c>
      <c r="I4" s="3" t="str">
        <f>VLOOKUP(D:D,Table3[#All], 4, FALSE)</f>
        <v>Canada</v>
      </c>
      <c r="J4" s="2">
        <f>VLOOKUP(D:D,Table3[#All], 5, FALSE)</f>
        <v>44927</v>
      </c>
      <c r="K4" s="2" t="str">
        <f>TEXT(Table1[[#This Row],[SIGNUPDATE]], "mmm, yy")</f>
        <v>Jan, 23</v>
      </c>
      <c r="L4" s="3" t="str">
        <f>IFERROR(VLOOKUP(D:D,Customer_info!A:A, 1, FALSE), "Not found")</f>
        <v>CUST091</v>
      </c>
      <c r="M4" s="3"/>
    </row>
    <row r="5" spans="1:13">
      <c r="A5" t="s">
        <v>14</v>
      </c>
      <c r="B5" s="2">
        <v>45436</v>
      </c>
      <c r="C5" s="1" t="str">
        <f t="shared" si="0"/>
        <v>May</v>
      </c>
      <c r="D5" t="s">
        <v>15</v>
      </c>
      <c r="E5" t="s">
        <v>16</v>
      </c>
      <c r="F5" s="4">
        <v>5</v>
      </c>
      <c r="G5" s="3">
        <v>1972.3</v>
      </c>
      <c r="H5" s="3" t="str">
        <f>VLOOKUP(Sales!E:E, Table2[#All], 3,FALSE)</f>
        <v>Clothing</v>
      </c>
      <c r="I5" s="3" t="str">
        <f>VLOOKUP(D:D,Table3[#All], 4, FALSE)</f>
        <v>Canada</v>
      </c>
      <c r="J5" s="2">
        <f>VLOOKUP(D:D,Table3[#All], 5, FALSE)</f>
        <v>44967</v>
      </c>
      <c r="K5" s="2" t="str">
        <f>TEXT(Table1[[#This Row],[SIGNUPDATE]], "mmm, yy")</f>
        <v>Feb, 23</v>
      </c>
      <c r="L5" s="3" t="str">
        <f>IFERROR(VLOOKUP(D:D,Customer_info!A:A, 1, FALSE), "Not found")</f>
        <v>CUST097</v>
      </c>
      <c r="M5" s="3"/>
    </row>
    <row r="6" spans="1:13">
      <c r="A6" t="s">
        <v>17</v>
      </c>
      <c r="B6" s="2">
        <v>45372</v>
      </c>
      <c r="C6" s="1" t="str">
        <f t="shared" si="0"/>
        <v>Mar</v>
      </c>
      <c r="D6" t="s">
        <v>18</v>
      </c>
      <c r="E6" t="s">
        <v>19</v>
      </c>
      <c r="F6" s="4">
        <v>5</v>
      </c>
      <c r="G6" s="3">
        <v>1039.25</v>
      </c>
      <c r="H6" s="3" t="str">
        <f>VLOOKUP(Sales!E:E, Table2[#All], 3,FALSE)</f>
        <v>Clothing</v>
      </c>
      <c r="I6" s="3" t="str">
        <f>VLOOKUP(D:D,Table3[#All], 4, FALSE)</f>
        <v>United States</v>
      </c>
      <c r="J6" s="2">
        <f>VLOOKUP(D:D,Table3[#All], 5, FALSE)</f>
        <v>45101</v>
      </c>
      <c r="K6" s="2" t="str">
        <f>TEXT(Table1[[#This Row],[SIGNUPDATE]], "mmm, yy")</f>
        <v>Jun, 23</v>
      </c>
      <c r="L6" s="3" t="str">
        <f>IFERROR(VLOOKUP(D:D,Customer_info!A:A, 1, FALSE), "Not found")</f>
        <v>CUST018</v>
      </c>
      <c r="M6" s="3"/>
    </row>
    <row r="7" spans="1:13">
      <c r="A7" t="s">
        <v>20</v>
      </c>
      <c r="B7" s="2">
        <v>45344</v>
      </c>
      <c r="C7" s="1" t="str">
        <f t="shared" si="0"/>
        <v>Feb</v>
      </c>
      <c r="D7" t="s">
        <v>21</v>
      </c>
      <c r="E7" t="s">
        <v>22</v>
      </c>
      <c r="F7" s="4">
        <v>3</v>
      </c>
      <c r="G7" s="3">
        <v>309.89999999999998</v>
      </c>
      <c r="H7" s="3" t="str">
        <f>VLOOKUP(Sales!E:E, Table2[#All], 3,FALSE)</f>
        <v>Beauty</v>
      </c>
      <c r="I7" s="3" t="str">
        <f>VLOOKUP(D:D,Table3[#All], 4, FALSE)</f>
        <v>US</v>
      </c>
      <c r="J7" s="2">
        <f>VLOOKUP(D:D,Table3[#All], 5, FALSE)</f>
        <v>45010</v>
      </c>
      <c r="K7" s="2" t="str">
        <f>TEXT(Table1[[#This Row],[SIGNUPDATE]], "mmm, yy")</f>
        <v>Mar, 23</v>
      </c>
      <c r="L7" s="3" t="str">
        <f>IFERROR(VLOOKUP(D:D,Customer_info!A:A, 1, FALSE), "Not found")</f>
        <v>CUST038</v>
      </c>
      <c r="M7" s="3"/>
    </row>
    <row r="8" spans="1:13">
      <c r="A8" t="s">
        <v>23</v>
      </c>
      <c r="B8" s="2">
        <v>45353</v>
      </c>
      <c r="C8" s="1" t="str">
        <f t="shared" si="0"/>
        <v>Mar</v>
      </c>
      <c r="D8" t="s">
        <v>24</v>
      </c>
      <c r="E8" t="s">
        <v>25</v>
      </c>
      <c r="F8" s="4">
        <v>3</v>
      </c>
      <c r="G8" s="3">
        <v>449.31</v>
      </c>
      <c r="H8" s="3" t="str">
        <f>VLOOKUP(Sales!E:E, Table2[#All], 3,FALSE)</f>
        <v>Beauty</v>
      </c>
      <c r="I8" s="3" t="str">
        <f>VLOOKUP(D:D,Table3[#All], 4, FALSE)</f>
        <v>United Kingdom</v>
      </c>
      <c r="J8" s="2">
        <f>VLOOKUP(D:D,Table3[#All], 5, FALSE)</f>
        <v>45053</v>
      </c>
      <c r="K8" s="2" t="str">
        <f>TEXT(Table1[[#This Row],[SIGNUPDATE]], "mmm, yy")</f>
        <v>May, 23</v>
      </c>
      <c r="L8" s="3" t="str">
        <f>IFERROR(VLOOKUP(D:D,Customer_info!A:A, 1, FALSE), "Not found")</f>
        <v>CUST060</v>
      </c>
      <c r="M8" s="3"/>
    </row>
    <row r="9" spans="1:13">
      <c r="A9" t="s">
        <v>26</v>
      </c>
      <c r="B9" s="2">
        <v>45393</v>
      </c>
      <c r="C9" s="1" t="str">
        <f t="shared" si="0"/>
        <v>Apr</v>
      </c>
      <c r="D9" t="s">
        <v>6</v>
      </c>
      <c r="E9" t="s">
        <v>27</v>
      </c>
      <c r="F9" s="4">
        <v>3</v>
      </c>
      <c r="G9" s="3">
        <v>1356.6</v>
      </c>
      <c r="H9" s="3" t="str">
        <f>VLOOKUP(Sales!E:E, Table2[#All], 3,FALSE)</f>
        <v>Beauty</v>
      </c>
      <c r="I9" s="3" t="str">
        <f>VLOOKUP(D:D,Table3[#All], 4, FALSE)</f>
        <v>Canada</v>
      </c>
      <c r="J9" s="2">
        <f>VLOOKUP(D:D,Table3[#All], 5, FALSE)</f>
        <v>45210</v>
      </c>
      <c r="K9" s="2" t="str">
        <f>TEXT(Table1[[#This Row],[SIGNUPDATE]], "mmm, yy")</f>
        <v>Oct, 23</v>
      </c>
      <c r="L9" s="3" t="str">
        <f>IFERROR(VLOOKUP(D:D,Customer_info!A:A, 1, FALSE), "Not found")</f>
        <v>CUST115</v>
      </c>
      <c r="M9" s="3"/>
    </row>
    <row r="10" spans="1:13">
      <c r="A10" t="s">
        <v>28</v>
      </c>
      <c r="B10" s="2">
        <v>45463</v>
      </c>
      <c r="C10" s="1" t="str">
        <f t="shared" si="0"/>
        <v>Jun</v>
      </c>
      <c r="D10" t="s">
        <v>29</v>
      </c>
      <c r="E10" t="s">
        <v>27</v>
      </c>
      <c r="F10" s="4">
        <v>2</v>
      </c>
      <c r="G10" s="3">
        <v>904.4</v>
      </c>
      <c r="H10" s="3" t="str">
        <f>VLOOKUP(Sales!E:E, Table2[#All], 3,FALSE)</f>
        <v>Beauty</v>
      </c>
      <c r="I10" s="3" t="str">
        <f>VLOOKUP(D:D,Table3[#All], 4, FALSE)</f>
        <v>UK</v>
      </c>
      <c r="J10" s="2">
        <f>VLOOKUP(D:D,Table3[#All], 5, FALSE)</f>
        <v>45229</v>
      </c>
      <c r="K10" s="2" t="str">
        <f>TEXT(Table1[[#This Row],[SIGNUPDATE]], "mmm, yy")</f>
        <v>Oct, 23</v>
      </c>
      <c r="L10" s="3" t="str">
        <f>IFERROR(VLOOKUP(D:D,Customer_info!A:A, 1, FALSE), "Not found")</f>
        <v>CUST006</v>
      </c>
      <c r="M10" s="3"/>
    </row>
    <row r="11" spans="1:13">
      <c r="A11" t="s">
        <v>30</v>
      </c>
      <c r="B11" s="2">
        <v>45409</v>
      </c>
      <c r="C11" s="1" t="str">
        <f t="shared" si="0"/>
        <v>Apr</v>
      </c>
      <c r="D11" t="s">
        <v>31</v>
      </c>
      <c r="E11" t="s">
        <v>16</v>
      </c>
      <c r="F11" s="4">
        <v>3</v>
      </c>
      <c r="G11" s="3">
        <v>1183.3800000000001</v>
      </c>
      <c r="H11" s="3" t="str">
        <f>VLOOKUP(Sales!E:E, Table2[#All], 3,FALSE)</f>
        <v>Clothing</v>
      </c>
      <c r="I11" s="3" t="str">
        <f>VLOOKUP(D:D,Table3[#All], 4, FALSE)</f>
        <v>UK</v>
      </c>
      <c r="J11" s="2">
        <f>VLOOKUP(D:D,Table3[#All], 5, FALSE)</f>
        <v>44974</v>
      </c>
      <c r="K11" s="2" t="str">
        <f>TEXT(Table1[[#This Row],[SIGNUPDATE]], "mmm, yy")</f>
        <v>Feb, 23</v>
      </c>
      <c r="L11" s="3" t="str">
        <f>IFERROR(VLOOKUP(D:D,Customer_info!A:A, 1, FALSE), "Not found")</f>
        <v>CUST021</v>
      </c>
      <c r="M11" s="3"/>
    </row>
    <row r="12" spans="1:13">
      <c r="A12" t="s">
        <v>32</v>
      </c>
      <c r="B12" s="2">
        <v>45310</v>
      </c>
      <c r="C12" s="1" t="str">
        <f t="shared" si="0"/>
        <v>Jan</v>
      </c>
      <c r="D12" t="s">
        <v>33</v>
      </c>
      <c r="E12" t="s">
        <v>34</v>
      </c>
      <c r="F12" s="4">
        <v>3</v>
      </c>
      <c r="G12" s="3">
        <v>877.02</v>
      </c>
      <c r="H12" s="3" t="str">
        <f>VLOOKUP(Sales!E:E, Table2[#All], 3,FALSE)</f>
        <v>Sports</v>
      </c>
      <c r="I12" s="3" t="str">
        <f>VLOOKUP(D:D,Table3[#All], 4, FALSE)</f>
        <v>US</v>
      </c>
      <c r="J12" s="2">
        <f>VLOOKUP(D:D,Table3[#All], 5, FALSE)</f>
        <v>45286</v>
      </c>
      <c r="K12" s="2" t="str">
        <f>TEXT(Table1[[#This Row],[SIGNUPDATE]], "mmm, yy")</f>
        <v>Dec, 23</v>
      </c>
      <c r="L12" s="3" t="str">
        <f>IFERROR(VLOOKUP(D:D,Customer_info!A:A, 1, FALSE), "Not found")</f>
        <v>CUST041</v>
      </c>
      <c r="M12" s="3"/>
    </row>
    <row r="13" spans="1:13">
      <c r="A13" t="s">
        <v>35</v>
      </c>
      <c r="B13" s="2">
        <v>45409</v>
      </c>
      <c r="C13" s="1" t="str">
        <f t="shared" si="0"/>
        <v>Apr</v>
      </c>
      <c r="D13" t="s">
        <v>36</v>
      </c>
      <c r="E13" t="s">
        <v>37</v>
      </c>
      <c r="F13" s="4">
        <v>1</v>
      </c>
      <c r="G13" s="3">
        <v>334.32</v>
      </c>
      <c r="H13" s="3" t="str">
        <f>VLOOKUP(Sales!E:E, Table2[#All], 3,FALSE)</f>
        <v>Sports</v>
      </c>
      <c r="I13" s="3" t="str">
        <f>VLOOKUP(D:D,Table3[#All], 4, FALSE)</f>
        <v>US</v>
      </c>
      <c r="J13" s="2">
        <f>VLOOKUP(D:D,Table3[#All], 5, FALSE)</f>
        <v>45151</v>
      </c>
      <c r="K13" s="2" t="str">
        <f>TEXT(Table1[[#This Row],[SIGNUPDATE]], "mmm, yy")</f>
        <v>Aug, 23</v>
      </c>
      <c r="L13" s="3" t="str">
        <f>IFERROR(VLOOKUP(D:D,Customer_info!A:A, 1, FALSE), "Not found")</f>
        <v>CUST110</v>
      </c>
      <c r="M13" s="3"/>
    </row>
    <row r="14" spans="1:13">
      <c r="A14" t="s">
        <v>38</v>
      </c>
      <c r="B14" s="2">
        <v>45436</v>
      </c>
      <c r="C14" s="1" t="str">
        <f t="shared" si="0"/>
        <v>May</v>
      </c>
      <c r="D14" t="s">
        <v>39</v>
      </c>
      <c r="E14" t="s">
        <v>40</v>
      </c>
      <c r="F14" s="4">
        <v>5</v>
      </c>
      <c r="G14" s="3">
        <v>190.05</v>
      </c>
      <c r="H14" s="3" t="str">
        <f>VLOOKUP(Sales!E:E, Table2[#All], 3,FALSE)</f>
        <v>Home</v>
      </c>
      <c r="I14" s="3" t="str">
        <f>VLOOKUP(D:D,Table3[#All], 4, FALSE)</f>
        <v>UK</v>
      </c>
      <c r="J14" s="2">
        <f>VLOOKUP(D:D,Table3[#All], 5, FALSE)</f>
        <v>45162</v>
      </c>
      <c r="K14" s="2" t="str">
        <f>TEXT(Table1[[#This Row],[SIGNUPDATE]], "mmm, yy")</f>
        <v>Aug, 23</v>
      </c>
      <c r="L14" s="3" t="str">
        <f>IFERROR(VLOOKUP(D:D,Customer_info!A:A, 1, FALSE), "Not found")</f>
        <v>CUST025</v>
      </c>
      <c r="M14" s="3"/>
    </row>
    <row r="15" spans="1:13">
      <c r="A15" t="s">
        <v>41</v>
      </c>
      <c r="B15" s="2">
        <v>45310</v>
      </c>
      <c r="C15" s="1" t="str">
        <f t="shared" si="0"/>
        <v>Jan</v>
      </c>
      <c r="D15" t="s">
        <v>42</v>
      </c>
      <c r="E15" t="s">
        <v>43</v>
      </c>
      <c r="F15" s="4">
        <v>1</v>
      </c>
      <c r="G15" s="3">
        <v>272.77999999999997</v>
      </c>
      <c r="H15" s="3" t="str">
        <f>VLOOKUP(Sales!E:E, Table2[#All], 3,FALSE)</f>
        <v>Clothing</v>
      </c>
      <c r="I15" s="3" t="str">
        <f>VLOOKUP(D:D,Table3[#All], 4, FALSE)</f>
        <v>United States</v>
      </c>
      <c r="J15" s="2">
        <f>VLOOKUP(D:D,Table3[#All], 5, FALSE)</f>
        <v>45064</v>
      </c>
      <c r="K15" s="2" t="str">
        <f>TEXT(Table1[[#This Row],[SIGNUPDATE]], "mmm, yy")</f>
        <v>May, 23</v>
      </c>
      <c r="L15" s="3" t="str">
        <f>IFERROR(VLOOKUP(D:D,Customer_info!A:A, 1, FALSE), "Not found")</f>
        <v>CUST053</v>
      </c>
      <c r="M15" s="3"/>
    </row>
    <row r="16" spans="1:13">
      <c r="A16" t="s">
        <v>44</v>
      </c>
      <c r="B16" s="2">
        <v>45346</v>
      </c>
      <c r="C16" s="1" t="str">
        <f t="shared" si="0"/>
        <v>Feb</v>
      </c>
      <c r="D16" t="s">
        <v>45</v>
      </c>
      <c r="E16" t="s">
        <v>13</v>
      </c>
      <c r="F16" s="4">
        <v>5</v>
      </c>
      <c r="G16" s="3">
        <v>1183.45</v>
      </c>
      <c r="H16" s="3" t="str">
        <f>VLOOKUP(Sales!E:E, Table2[#All], 3,FALSE)</f>
        <v>Home</v>
      </c>
      <c r="I16" s="3" t="str">
        <f>VLOOKUP(D:D,Table3[#All], 4, FALSE)</f>
        <v>UK</v>
      </c>
      <c r="J16" s="2">
        <f>VLOOKUP(D:D,Table3[#All], 5, FALSE)</f>
        <v>45238</v>
      </c>
      <c r="K16" s="2" t="str">
        <f>TEXT(Table1[[#This Row],[SIGNUPDATE]], "mmm, yy")</f>
        <v>Nov, 23</v>
      </c>
      <c r="L16" s="3" t="str">
        <f>IFERROR(VLOOKUP(D:D,Customer_info!A:A, 1, FALSE), "Not found")</f>
        <v>CUST043</v>
      </c>
      <c r="M16" s="3"/>
    </row>
    <row r="17" spans="1:13">
      <c r="A17" t="s">
        <v>46</v>
      </c>
      <c r="B17" s="2">
        <v>45359</v>
      </c>
      <c r="C17" s="1" t="str">
        <f t="shared" si="0"/>
        <v>Mar</v>
      </c>
      <c r="D17" t="s">
        <v>47</v>
      </c>
      <c r="E17" t="s">
        <v>48</v>
      </c>
      <c r="F17" s="4">
        <v>5</v>
      </c>
      <c r="G17" s="3">
        <v>1469</v>
      </c>
      <c r="H17" s="3" t="str">
        <f>VLOOKUP(Sales!E:E, Table2[#All], 3,FALSE)</f>
        <v>Electronics</v>
      </c>
      <c r="I17" s="3" t="str">
        <f>VLOOKUP(D:D,Table3[#All], 4, FALSE)</f>
        <v>Canada</v>
      </c>
      <c r="J17" s="2">
        <f>VLOOKUP(D:D,Table3[#All], 5, FALSE)</f>
        <v>45039</v>
      </c>
      <c r="K17" s="2" t="str">
        <f>TEXT(Table1[[#This Row],[SIGNUPDATE]], "mmm, yy")</f>
        <v>Apr, 23</v>
      </c>
      <c r="L17" s="3" t="str">
        <f>IFERROR(VLOOKUP(D:D,Customer_info!A:A, 1, FALSE), "Not found")</f>
        <v>CUST049</v>
      </c>
      <c r="M17" s="3"/>
    </row>
    <row r="18" spans="1:13">
      <c r="A18" t="s">
        <v>49</v>
      </c>
      <c r="B18" s="2">
        <v>45381</v>
      </c>
      <c r="C18" s="1" t="str">
        <f t="shared" si="0"/>
        <v>Mar</v>
      </c>
      <c r="D18" t="s">
        <v>50</v>
      </c>
      <c r="E18" t="s">
        <v>51</v>
      </c>
      <c r="F18" s="4">
        <v>2</v>
      </c>
      <c r="G18" s="3">
        <v>171.7</v>
      </c>
      <c r="H18" s="3" t="str">
        <f>VLOOKUP(Sales!E:E, Table2[#All], 3,FALSE)</f>
        <v>Beauty</v>
      </c>
      <c r="I18" s="3" t="str">
        <f>VLOOKUP(D:D,Table3[#All], 4, FALSE)</f>
        <v>US</v>
      </c>
      <c r="J18" s="2">
        <f>VLOOKUP(D:D,Table3[#All], 5, FALSE)</f>
        <v>44984</v>
      </c>
      <c r="K18" s="2" t="str">
        <f>TEXT(Table1[[#This Row],[SIGNUPDATE]], "mmm, yy")</f>
        <v>Feb, 23</v>
      </c>
      <c r="L18" s="3" t="str">
        <f>IFERROR(VLOOKUP(D:D,Customer_info!A:A, 1, FALSE), "Not found")</f>
        <v>CUST080</v>
      </c>
      <c r="M18" s="3"/>
    </row>
    <row r="19" spans="1:13">
      <c r="A19" t="s">
        <v>52</v>
      </c>
      <c r="B19" s="2">
        <v>45354</v>
      </c>
      <c r="C19" s="1" t="str">
        <f t="shared" si="0"/>
        <v>Mar</v>
      </c>
      <c r="D19" t="s">
        <v>53</v>
      </c>
      <c r="E19" t="s">
        <v>54</v>
      </c>
      <c r="F19" s="4">
        <v>1</v>
      </c>
      <c r="G19" s="3">
        <v>130.65</v>
      </c>
      <c r="H19" s="3" t="str">
        <f>VLOOKUP(Sales!E:E, Table2[#All], 3,FALSE)</f>
        <v>Sports</v>
      </c>
      <c r="I19" s="3" t="str">
        <f>VLOOKUP(D:D,Table3[#All], 4, FALSE)</f>
        <v>India</v>
      </c>
      <c r="J19" s="2">
        <f>VLOOKUP(D:D,Table3[#All], 5, FALSE)</f>
        <v>45143</v>
      </c>
      <c r="K19" s="2" t="str">
        <f>TEXT(Table1[[#This Row],[SIGNUPDATE]], "mmm, yy")</f>
        <v>Aug, 23</v>
      </c>
      <c r="L19" s="3" t="str">
        <f>IFERROR(VLOOKUP(D:D,Customer_info!A:A, 1, FALSE), "Not found")</f>
        <v>CUST071</v>
      </c>
      <c r="M19" s="3"/>
    </row>
    <row r="20" spans="1:13">
      <c r="A20" t="s">
        <v>55</v>
      </c>
      <c r="B20" s="2">
        <v>45364</v>
      </c>
      <c r="C20" s="1" t="str">
        <f t="shared" si="0"/>
        <v>Mar</v>
      </c>
      <c r="D20" t="s">
        <v>56</v>
      </c>
      <c r="E20" t="s">
        <v>37</v>
      </c>
      <c r="F20" s="4">
        <v>3</v>
      </c>
      <c r="G20" s="3">
        <v>1002.96</v>
      </c>
      <c r="H20" s="3" t="str">
        <f>VLOOKUP(Sales!E:E, Table2[#All], 3,FALSE)</f>
        <v>Sports</v>
      </c>
      <c r="I20" s="3" t="str">
        <f>VLOOKUP(D:D,Table3[#All], 4, FALSE)</f>
        <v>UK</v>
      </c>
      <c r="J20" s="2">
        <f>VLOOKUP(D:D,Table3[#All], 5, FALSE)</f>
        <v>45061</v>
      </c>
      <c r="K20" s="2" t="str">
        <f>TEXT(Table1[[#This Row],[SIGNUPDATE]], "mmm, yy")</f>
        <v>May, 23</v>
      </c>
      <c r="L20" s="3" t="str">
        <f>IFERROR(VLOOKUP(D:D,Customer_info!A:A, 1, FALSE), "Not found")</f>
        <v>CUST083</v>
      </c>
      <c r="M20" s="3"/>
    </row>
    <row r="21" spans="1:13">
      <c r="A21" t="s">
        <v>57</v>
      </c>
      <c r="B21" s="2">
        <v>45404</v>
      </c>
      <c r="C21" s="1" t="str">
        <f t="shared" si="0"/>
        <v>Apr</v>
      </c>
      <c r="D21" t="s">
        <v>29</v>
      </c>
      <c r="E21" t="s">
        <v>7</v>
      </c>
      <c r="F21" s="4">
        <v>2</v>
      </c>
      <c r="G21" s="3">
        <v>839.3</v>
      </c>
      <c r="H21" s="3" t="str">
        <f>VLOOKUP(Sales!E:E, Table2[#All], 3,FALSE)</f>
        <v>Sports</v>
      </c>
      <c r="I21" s="3" t="str">
        <f>VLOOKUP(D:D,Table3[#All], 4, FALSE)</f>
        <v>UK</v>
      </c>
      <c r="J21" s="2">
        <f>VLOOKUP(D:D,Table3[#All], 5, FALSE)</f>
        <v>45229</v>
      </c>
      <c r="K21" s="2" t="str">
        <f>TEXT(Table1[[#This Row],[SIGNUPDATE]], "mmm, yy")</f>
        <v>Oct, 23</v>
      </c>
      <c r="L21" s="3" t="str">
        <f>IFERROR(VLOOKUP(D:D,Customer_info!A:A, 1, FALSE), "Not found")</f>
        <v>CUST006</v>
      </c>
      <c r="M21" s="3"/>
    </row>
    <row r="22" spans="1:13">
      <c r="A22" t="s">
        <v>58</v>
      </c>
      <c r="B22" s="2">
        <v>45472</v>
      </c>
      <c r="C22" s="1" t="str">
        <f t="shared" si="0"/>
        <v>Jun</v>
      </c>
      <c r="D22" t="s">
        <v>29</v>
      </c>
      <c r="E22" t="s">
        <v>59</v>
      </c>
      <c r="F22" s="4">
        <v>5</v>
      </c>
      <c r="G22" s="3">
        <v>457.45</v>
      </c>
      <c r="H22" s="3" t="str">
        <f>VLOOKUP(Sales!E:E, Table2[#All], 3,FALSE)</f>
        <v>Clothing</v>
      </c>
      <c r="I22" s="3" t="str">
        <f>VLOOKUP(D:D,Table3[#All], 4, FALSE)</f>
        <v>UK</v>
      </c>
      <c r="J22" s="2">
        <f>VLOOKUP(D:D,Table3[#All], 5, FALSE)</f>
        <v>45229</v>
      </c>
      <c r="K22" s="2" t="str">
        <f>TEXT(Table1[[#This Row],[SIGNUPDATE]], "mmm, yy")</f>
        <v>Oct, 23</v>
      </c>
      <c r="L22" s="3" t="str">
        <f>IFERROR(VLOOKUP(D:D,Customer_info!A:A, 1, FALSE), "Not found")</f>
        <v>CUST006</v>
      </c>
      <c r="M22" s="3"/>
    </row>
    <row r="23" spans="1:13">
      <c r="A23" t="s">
        <v>60</v>
      </c>
      <c r="B23" s="2">
        <v>45448</v>
      </c>
      <c r="C23" s="1" t="str">
        <f t="shared" si="0"/>
        <v>Jun</v>
      </c>
      <c r="D23" t="s">
        <v>61</v>
      </c>
      <c r="E23" t="s">
        <v>62</v>
      </c>
      <c r="F23" s="4">
        <v>3</v>
      </c>
      <c r="G23" s="3">
        <v>173.94</v>
      </c>
      <c r="H23" s="3" t="str">
        <f>VLOOKUP(Sales!E:E, Table2[#All], 3,FALSE)</f>
        <v>Sports</v>
      </c>
      <c r="I23" s="3" t="str">
        <f>VLOOKUP(D:D,Table3[#All], 4, FALSE)</f>
        <v>Canada</v>
      </c>
      <c r="J23" s="2">
        <f>VLOOKUP(D:D,Table3[#All], 5, FALSE)</f>
        <v>45011</v>
      </c>
      <c r="K23" s="2" t="str">
        <f>TEXT(Table1[[#This Row],[SIGNUPDATE]], "mmm, yy")</f>
        <v>Mar, 23</v>
      </c>
      <c r="L23" s="3" t="str">
        <f>IFERROR(VLOOKUP(D:D,Customer_info!A:A, 1, FALSE), "Not found")</f>
        <v>CUST102</v>
      </c>
      <c r="M23" s="3"/>
    </row>
    <row r="24" spans="1:13">
      <c r="A24" t="s">
        <v>63</v>
      </c>
      <c r="B24" s="2">
        <v>45294</v>
      </c>
      <c r="C24" s="1" t="str">
        <f t="shared" si="0"/>
        <v>Jan</v>
      </c>
      <c r="D24" t="s">
        <v>64</v>
      </c>
      <c r="E24" t="s">
        <v>59</v>
      </c>
      <c r="F24" s="4">
        <v>5</v>
      </c>
      <c r="G24" s="3">
        <v>457.45</v>
      </c>
      <c r="H24" s="3" t="str">
        <f>VLOOKUP(Sales!E:E, Table2[#All], 3,FALSE)</f>
        <v>Clothing</v>
      </c>
      <c r="I24" s="3" t="str">
        <f>VLOOKUP(D:D,Table3[#All], 4, FALSE)</f>
        <v>India</v>
      </c>
      <c r="J24" s="2">
        <f>VLOOKUP(D:D,Table3[#All], 5, FALSE)</f>
        <v>45214</v>
      </c>
      <c r="K24" s="2" t="str">
        <f>TEXT(Table1[[#This Row],[SIGNUPDATE]], "mmm, yy")</f>
        <v>Oct, 23</v>
      </c>
      <c r="L24" s="3" t="str">
        <f>IFERROR(VLOOKUP(D:D,Customer_info!A:A, 1, FALSE), "Not found")</f>
        <v>CUST061</v>
      </c>
      <c r="M24" s="3"/>
    </row>
    <row r="25" spans="1:13">
      <c r="A25" t="s">
        <v>65</v>
      </c>
      <c r="B25" s="2">
        <v>45368</v>
      </c>
      <c r="C25" s="1" t="str">
        <f t="shared" si="0"/>
        <v>Mar</v>
      </c>
      <c r="D25" t="s">
        <v>66</v>
      </c>
      <c r="E25" t="s">
        <v>67</v>
      </c>
      <c r="F25" s="4">
        <v>5</v>
      </c>
      <c r="G25" s="3">
        <v>2011.45</v>
      </c>
      <c r="H25" s="3" t="str">
        <f>VLOOKUP(Sales!E:E, Table2[#All], 3,FALSE)</f>
        <v>Home</v>
      </c>
      <c r="I25" s="3" t="str">
        <f>VLOOKUP(D:D,Table3[#All], 4, FALSE)</f>
        <v>Canada</v>
      </c>
      <c r="J25" s="2">
        <f>VLOOKUP(D:D,Table3[#All], 5, FALSE)</f>
        <v>45143</v>
      </c>
      <c r="K25" s="2" t="str">
        <f>TEXT(Table1[[#This Row],[SIGNUPDATE]], "mmm, yy")</f>
        <v>Aug, 23</v>
      </c>
      <c r="L25" s="3" t="str">
        <f>IFERROR(VLOOKUP(D:D,Customer_info!A:A, 1, FALSE), "Not found")</f>
        <v>CUST104</v>
      </c>
      <c r="M25" s="3"/>
    </row>
    <row r="26" spans="1:13">
      <c r="A26" t="s">
        <v>68</v>
      </c>
      <c r="B26" s="2">
        <v>45326</v>
      </c>
      <c r="C26" s="1" t="str">
        <f t="shared" si="0"/>
        <v>Feb</v>
      </c>
      <c r="D26" t="s">
        <v>69</v>
      </c>
      <c r="E26" t="s">
        <v>10</v>
      </c>
      <c r="F26" s="4">
        <v>1</v>
      </c>
      <c r="G26" s="3">
        <v>39.869999999999997</v>
      </c>
      <c r="H26" s="3" t="str">
        <f>VLOOKUP(Sales!E:E, Table2[#All], 3,FALSE)</f>
        <v>Sports</v>
      </c>
      <c r="I26" s="3" t="str">
        <f>VLOOKUP(D:D,Table3[#All], 4, FALSE)</f>
        <v>United States</v>
      </c>
      <c r="J26" s="2">
        <f>VLOOKUP(D:D,Table3[#All], 5, FALSE)</f>
        <v>44967</v>
      </c>
      <c r="K26" s="2" t="str">
        <f>TEXT(Table1[[#This Row],[SIGNUPDATE]], "mmm, yy")</f>
        <v>Feb, 23</v>
      </c>
      <c r="L26" s="3" t="str">
        <f>IFERROR(VLOOKUP(D:D,Customer_info!A:A, 1, FALSE), "Not found")</f>
        <v>CUST027</v>
      </c>
      <c r="M26" s="3"/>
    </row>
    <row r="27" spans="1:13">
      <c r="A27" t="s">
        <v>70</v>
      </c>
      <c r="B27" s="2">
        <v>45321</v>
      </c>
      <c r="C27" s="1" t="str">
        <f t="shared" si="0"/>
        <v>Jan</v>
      </c>
      <c r="D27" t="s">
        <v>33</v>
      </c>
      <c r="E27" t="s">
        <v>71</v>
      </c>
      <c r="F27" s="4">
        <v>3</v>
      </c>
      <c r="G27" s="3">
        <v>650.16</v>
      </c>
      <c r="H27" s="3" t="str">
        <f>VLOOKUP(Sales!E:E, Table2[#All], 3,FALSE)</f>
        <v>Clothing</v>
      </c>
      <c r="I27" s="3" t="str">
        <f>VLOOKUP(D:D,Table3[#All], 4, FALSE)</f>
        <v>US</v>
      </c>
      <c r="J27" s="2">
        <f>VLOOKUP(D:D,Table3[#All], 5, FALSE)</f>
        <v>45286</v>
      </c>
      <c r="K27" s="2" t="str">
        <f>TEXT(Table1[[#This Row],[SIGNUPDATE]], "mmm, yy")</f>
        <v>Dec, 23</v>
      </c>
      <c r="L27" s="3" t="str">
        <f>IFERROR(VLOOKUP(D:D,Customer_info!A:A, 1, FALSE), "Not found")</f>
        <v>CUST041</v>
      </c>
      <c r="M27" s="3"/>
    </row>
    <row r="28" spans="1:13">
      <c r="A28" t="s">
        <v>72</v>
      </c>
      <c r="B28" s="2">
        <v>45433</v>
      </c>
      <c r="C28" s="1" t="str">
        <f t="shared" si="0"/>
        <v>May</v>
      </c>
      <c r="D28" t="s">
        <v>73</v>
      </c>
      <c r="E28" t="s">
        <v>7</v>
      </c>
      <c r="F28" s="4">
        <v>1</v>
      </c>
      <c r="G28" s="3">
        <v>419.65</v>
      </c>
      <c r="H28" s="3" t="str">
        <f>VLOOKUP(Sales!E:E, Table2[#All], 3,FALSE)</f>
        <v>Sports</v>
      </c>
      <c r="I28" s="3" t="str">
        <f>VLOOKUP(D:D,Table3[#All], 4, FALSE)</f>
        <v>India</v>
      </c>
      <c r="J28" s="2">
        <f>VLOOKUP(D:D,Table3[#All], 5, FALSE)</f>
        <v>44984</v>
      </c>
      <c r="K28" s="2" t="str">
        <f>TEXT(Table1[[#This Row],[SIGNUPDATE]], "mmm, yy")</f>
        <v>Feb, 23</v>
      </c>
      <c r="L28" s="3" t="str">
        <f>IFERROR(VLOOKUP(D:D,Customer_info!A:A, 1, FALSE), "Not found")</f>
        <v>CUST001</v>
      </c>
      <c r="M28" s="3"/>
    </row>
    <row r="29" spans="1:13">
      <c r="A29" t="s">
        <v>74</v>
      </c>
      <c r="B29" s="2">
        <v>45361</v>
      </c>
      <c r="C29" s="1" t="str">
        <f t="shared" si="0"/>
        <v>Mar</v>
      </c>
      <c r="D29" t="s">
        <v>75</v>
      </c>
      <c r="E29" t="s">
        <v>10</v>
      </c>
      <c r="F29" s="4">
        <v>2</v>
      </c>
      <c r="G29" s="3">
        <v>79.739999999999995</v>
      </c>
      <c r="H29" s="3" t="str">
        <f>VLOOKUP(Sales!E:E, Table2[#All], 3,FALSE)</f>
        <v>Sports</v>
      </c>
      <c r="I29" s="3" t="str">
        <f>VLOOKUP(D:D,Table3[#All], 4, FALSE)</f>
        <v>United Kingdom</v>
      </c>
      <c r="J29" s="2">
        <f>VLOOKUP(D:D,Table3[#All], 5, FALSE)</f>
        <v>45262</v>
      </c>
      <c r="K29" s="2" t="str">
        <f>TEXT(Table1[[#This Row],[SIGNUPDATE]], "mmm, yy")</f>
        <v>Dec, 23</v>
      </c>
      <c r="L29" s="3" t="str">
        <f>IFERROR(VLOOKUP(D:D,Customer_info!A:A, 1, FALSE), "Not found")</f>
        <v>CUST056</v>
      </c>
      <c r="M29" s="3"/>
    </row>
    <row r="30" spans="1:13">
      <c r="A30" t="s">
        <v>76</v>
      </c>
      <c r="B30" s="2">
        <v>45446</v>
      </c>
      <c r="C30" s="1" t="str">
        <f t="shared" si="0"/>
        <v>Jun</v>
      </c>
      <c r="D30" t="s">
        <v>77</v>
      </c>
      <c r="E30" t="s">
        <v>22</v>
      </c>
      <c r="F30" s="4">
        <v>3</v>
      </c>
      <c r="G30" s="3">
        <v>309.89999999999998</v>
      </c>
      <c r="H30" s="3" t="str">
        <f>VLOOKUP(Sales!E:E, Table2[#All], 3,FALSE)</f>
        <v>Beauty</v>
      </c>
      <c r="I30" s="3" t="str">
        <f>VLOOKUP(D:D,Table3[#All], 4, FALSE)</f>
        <v>US</v>
      </c>
      <c r="J30" s="2">
        <f>VLOOKUP(D:D,Table3[#All], 5, FALSE)</f>
        <v>44967</v>
      </c>
      <c r="K30" s="2" t="str">
        <f>TEXT(Table1[[#This Row],[SIGNUPDATE]], "mmm, yy")</f>
        <v>Feb, 23</v>
      </c>
      <c r="L30" s="3" t="str">
        <f>IFERROR(VLOOKUP(D:D,Customer_info!A:A, 1, FALSE), "Not found")</f>
        <v>CUST034</v>
      </c>
      <c r="M30" s="3"/>
    </row>
    <row r="31" spans="1:13">
      <c r="A31" t="s">
        <v>78</v>
      </c>
      <c r="B31" s="2">
        <v>45379</v>
      </c>
      <c r="C31" s="1" t="str">
        <f t="shared" si="0"/>
        <v>Mar</v>
      </c>
      <c r="D31" t="s">
        <v>79</v>
      </c>
      <c r="E31" t="s">
        <v>80</v>
      </c>
      <c r="F31" s="4">
        <v>2</v>
      </c>
      <c r="G31" s="3">
        <v>866.56</v>
      </c>
      <c r="H31" s="3" t="str">
        <f>VLOOKUP(Sales!E:E, Table2[#All], 3,FALSE)</f>
        <v>Beauty</v>
      </c>
      <c r="I31" s="3" t="str">
        <f>VLOOKUP(D:D,Table3[#All], 4, FALSE)</f>
        <v>UK</v>
      </c>
      <c r="J31" s="2">
        <f>VLOOKUP(D:D,Table3[#All], 5, FALSE)</f>
        <v>45175</v>
      </c>
      <c r="K31" s="2" t="str">
        <f>TEXT(Table1[[#This Row],[SIGNUPDATE]], "mmm, yy")</f>
        <v>Sep, 23</v>
      </c>
      <c r="L31" s="3" t="str">
        <f>IFERROR(VLOOKUP(D:D,Customer_info!A:A, 1, FALSE), "Not found")</f>
        <v>CUST098</v>
      </c>
      <c r="M31" s="3"/>
    </row>
    <row r="32" spans="1:13">
      <c r="A32" t="s">
        <v>81</v>
      </c>
      <c r="B32" s="2">
        <v>45467</v>
      </c>
      <c r="C32" s="1" t="str">
        <f t="shared" si="0"/>
        <v>Jun</v>
      </c>
      <c r="D32" t="s">
        <v>82</v>
      </c>
      <c r="E32" t="s">
        <v>62</v>
      </c>
      <c r="F32" s="4">
        <v>2</v>
      </c>
      <c r="G32" s="3">
        <v>115.96</v>
      </c>
      <c r="H32" s="3" t="str">
        <f>VLOOKUP(Sales!E:E, Table2[#All], 3,FALSE)</f>
        <v>Sports</v>
      </c>
      <c r="I32" s="3" t="str">
        <f>VLOOKUP(D:D,Table3[#All], 4, FALSE)</f>
        <v>United Kingdom</v>
      </c>
      <c r="J32" s="2">
        <f>VLOOKUP(D:D,Table3[#All], 5, FALSE)</f>
        <v>45159</v>
      </c>
      <c r="K32" s="2" t="str">
        <f>TEXT(Table1[[#This Row],[SIGNUPDATE]], "mmm, yy")</f>
        <v>Aug, 23</v>
      </c>
      <c r="L32" s="3" t="str">
        <f>IFERROR(VLOOKUP(D:D,Customer_info!A:A, 1, FALSE), "Not found")</f>
        <v>CUST082</v>
      </c>
      <c r="M32" s="3"/>
    </row>
    <row r="33" spans="1:13">
      <c r="A33" t="s">
        <v>83</v>
      </c>
      <c r="B33" s="2">
        <v>45421</v>
      </c>
      <c r="C33" s="1" t="str">
        <f t="shared" si="0"/>
        <v>May</v>
      </c>
      <c r="D33" t="s">
        <v>84</v>
      </c>
      <c r="E33" t="s">
        <v>59</v>
      </c>
      <c r="F33" s="4">
        <v>3</v>
      </c>
      <c r="G33" s="3">
        <v>274.47000000000003</v>
      </c>
      <c r="H33" s="3" t="str">
        <f>VLOOKUP(Sales!E:E, Table2[#All], 3,FALSE)</f>
        <v>Clothing</v>
      </c>
      <c r="I33" s="3" t="str">
        <f>VLOOKUP(D:D,Table3[#All], 4, FALSE)</f>
        <v>United Kingdom</v>
      </c>
      <c r="J33" s="2">
        <f>VLOOKUP(D:D,Table3[#All], 5, FALSE)</f>
        <v>45118</v>
      </c>
      <c r="K33" s="2" t="str">
        <f>TEXT(Table1[[#This Row],[SIGNUPDATE]], "mmm, yy")</f>
        <v>Jul, 23</v>
      </c>
      <c r="L33" s="3" t="str">
        <f>IFERROR(VLOOKUP(D:D,Customer_info!A:A, 1, FALSE), "Not found")</f>
        <v>CUST089</v>
      </c>
      <c r="M33" s="3"/>
    </row>
    <row r="34" spans="1:13">
      <c r="A34" t="s">
        <v>85</v>
      </c>
      <c r="B34" s="2">
        <v>45356</v>
      </c>
      <c r="C34" s="1" t="str">
        <f t="shared" si="0"/>
        <v>Mar</v>
      </c>
      <c r="D34" t="s">
        <v>86</v>
      </c>
      <c r="E34" t="s">
        <v>40</v>
      </c>
      <c r="F34" s="4">
        <v>4</v>
      </c>
      <c r="G34" s="3">
        <v>152.04</v>
      </c>
      <c r="H34" s="3" t="str">
        <f>VLOOKUP(Sales!E:E, Table2[#All], 3,FALSE)</f>
        <v>Home</v>
      </c>
      <c r="I34" s="3" t="str">
        <f>VLOOKUP(D:D,Table3[#All], 4, FALSE)</f>
        <v>United Kingdom</v>
      </c>
      <c r="J34" s="2">
        <f>VLOOKUP(D:D,Table3[#All], 5, FALSE)</f>
        <v>45287</v>
      </c>
      <c r="K34" s="2" t="str">
        <f>TEXT(Table1[[#This Row],[SIGNUPDATE]], "mmm, yy")</f>
        <v>Dec, 23</v>
      </c>
      <c r="L34" s="3" t="str">
        <f>IFERROR(VLOOKUP(D:D,Customer_info!A:A, 1, FALSE), "Not found")</f>
        <v>CUST031</v>
      </c>
      <c r="M34" s="3"/>
    </row>
    <row r="35" spans="1:13">
      <c r="A35" t="s">
        <v>87</v>
      </c>
      <c r="B35" s="2">
        <v>45315</v>
      </c>
      <c r="C35" s="1" t="str">
        <f t="shared" si="0"/>
        <v>Jan</v>
      </c>
      <c r="D35" t="s">
        <v>88</v>
      </c>
      <c r="E35" t="s">
        <v>37</v>
      </c>
      <c r="F35" s="4">
        <v>1</v>
      </c>
      <c r="G35" s="3">
        <v>334.32</v>
      </c>
      <c r="H35" s="3" t="str">
        <f>VLOOKUP(Sales!E:E, Table2[#All], 3,FALSE)</f>
        <v>Sports</v>
      </c>
      <c r="I35" s="3" t="str">
        <f>VLOOKUP(D:D,Table3[#All], 4, FALSE)</f>
        <v>UK</v>
      </c>
      <c r="J35" s="2">
        <f>VLOOKUP(D:D,Table3[#All], 5, FALSE)</f>
        <v>45067</v>
      </c>
      <c r="K35" s="2" t="str">
        <f>TEXT(Table1[[#This Row],[SIGNUPDATE]], "mmm, yy")</f>
        <v>May, 23</v>
      </c>
      <c r="L35" s="3" t="str">
        <f>IFERROR(VLOOKUP(D:D,Customer_info!A:A, 1, FALSE), "Not found")</f>
        <v>CUST002</v>
      </c>
      <c r="M35" s="3"/>
    </row>
    <row r="36" spans="1:13">
      <c r="A36" t="s">
        <v>89</v>
      </c>
      <c r="B36" s="2">
        <v>45362</v>
      </c>
      <c r="C36" s="1" t="str">
        <f t="shared" si="0"/>
        <v>Mar</v>
      </c>
      <c r="D36" t="s">
        <v>90</v>
      </c>
      <c r="E36" t="s">
        <v>34</v>
      </c>
      <c r="F36" s="4">
        <v>4</v>
      </c>
      <c r="G36" s="3">
        <v>1169.3599999999999</v>
      </c>
      <c r="H36" s="3" t="str">
        <f>VLOOKUP(Sales!E:E, Table2[#All], 3,FALSE)</f>
        <v>Sports</v>
      </c>
      <c r="I36" s="3" t="str">
        <f>VLOOKUP(D:D,Table3[#All], 4, FALSE)</f>
        <v>Canada</v>
      </c>
      <c r="J36" s="2">
        <f>VLOOKUP(D:D,Table3[#All], 5, FALSE)</f>
        <v>45092</v>
      </c>
      <c r="K36" s="2" t="str">
        <f>TEXT(Table1[[#This Row],[SIGNUPDATE]], "mmm, yy")</f>
        <v>Jun, 23</v>
      </c>
      <c r="L36" s="3" t="str">
        <f>IFERROR(VLOOKUP(D:D,Customer_info!A:A, 1, FALSE), "Not found")</f>
        <v>CUST092</v>
      </c>
      <c r="M36" s="3"/>
    </row>
    <row r="37" spans="1:13">
      <c r="A37" t="s">
        <v>91</v>
      </c>
      <c r="B37" s="2">
        <v>45292</v>
      </c>
      <c r="C37" s="1" t="str">
        <f t="shared" si="0"/>
        <v>Jan</v>
      </c>
      <c r="D37" t="s">
        <v>92</v>
      </c>
      <c r="E37" t="s">
        <v>51</v>
      </c>
      <c r="F37" s="4">
        <v>1</v>
      </c>
      <c r="G37" s="3">
        <v>85.85</v>
      </c>
      <c r="H37" s="3" t="str">
        <f>VLOOKUP(Sales!E:E, Table2[#All], 3,FALSE)</f>
        <v>Beauty</v>
      </c>
      <c r="I37" s="3" t="str">
        <f>VLOOKUP(D:D,Table3[#All], 4, FALSE)</f>
        <v>United States</v>
      </c>
      <c r="J37" s="2">
        <f>VLOOKUP(D:D,Table3[#All], 5, FALSE)</f>
        <v>45122</v>
      </c>
      <c r="K37" s="2" t="str">
        <f>TEXT(Table1[[#This Row],[SIGNUPDATE]], "mmm, yy")</f>
        <v>Jul, 23</v>
      </c>
      <c r="L37" s="3" t="str">
        <f>IFERROR(VLOOKUP(D:D,Customer_info!A:A, 1, FALSE), "Not found")</f>
        <v>CUST073</v>
      </c>
      <c r="M37" s="3"/>
    </row>
    <row r="38" spans="1:13">
      <c r="A38" t="s">
        <v>93</v>
      </c>
      <c r="B38" s="2">
        <v>45325</v>
      </c>
      <c r="C38" s="1" t="str">
        <f t="shared" si="0"/>
        <v>Feb</v>
      </c>
      <c r="D38" t="s">
        <v>94</v>
      </c>
      <c r="E38" t="s">
        <v>67</v>
      </c>
      <c r="F38" s="4">
        <v>3</v>
      </c>
      <c r="G38" s="3">
        <v>1206.8699999999999</v>
      </c>
      <c r="H38" s="3" t="str">
        <f>VLOOKUP(Sales!E:E, Table2[#All], 3,FALSE)</f>
        <v>Home</v>
      </c>
      <c r="I38" s="3" t="str">
        <f>VLOOKUP(D:D,Table3[#All], 4, FALSE)</f>
        <v>UK</v>
      </c>
      <c r="J38" s="2">
        <f>VLOOKUP(D:D,Table3[#All], 5, FALSE)</f>
        <v>45199</v>
      </c>
      <c r="K38" s="2" t="str">
        <f>TEXT(Table1[[#This Row],[SIGNUPDATE]], "mmm, yy")</f>
        <v>Sep, 23</v>
      </c>
      <c r="L38" s="3" t="str">
        <f>IFERROR(VLOOKUP(D:D,Customer_info!A:A, 1, FALSE), "Not found")</f>
        <v>CUST099</v>
      </c>
      <c r="M38" s="3"/>
    </row>
    <row r="39" spans="1:13">
      <c r="A39" t="s">
        <v>95</v>
      </c>
      <c r="B39" s="2">
        <v>45333</v>
      </c>
      <c r="C39" s="1" t="str">
        <f t="shared" si="0"/>
        <v>Feb</v>
      </c>
      <c r="D39" t="s">
        <v>96</v>
      </c>
      <c r="E39" t="s">
        <v>97</v>
      </c>
      <c r="F39" s="4">
        <v>3</v>
      </c>
      <c r="G39" s="3">
        <v>395.52</v>
      </c>
      <c r="H39" s="3" t="str">
        <f>VLOOKUP(Sales!E:E, Table2[#All], 3,FALSE)</f>
        <v>Electronics</v>
      </c>
      <c r="I39" s="3" t="str">
        <f>VLOOKUP(D:D,Table3[#All], 4, FALSE)</f>
        <v>United States</v>
      </c>
      <c r="J39" s="2">
        <f>VLOOKUP(D:D,Table3[#All], 5, FALSE)</f>
        <v>45039</v>
      </c>
      <c r="K39" s="2" t="str">
        <f>TEXT(Table1[[#This Row],[SIGNUPDATE]], "mmm, yy")</f>
        <v>Apr, 23</v>
      </c>
      <c r="L39" s="3" t="str">
        <f>IFERROR(VLOOKUP(D:D,Customer_info!A:A, 1, FALSE), "Not found")</f>
        <v>CUST014</v>
      </c>
      <c r="M39" s="3"/>
    </row>
    <row r="40" spans="1:13">
      <c r="A40" t="s">
        <v>98</v>
      </c>
      <c r="B40" s="2">
        <v>45433</v>
      </c>
      <c r="C40" s="1" t="str">
        <f t="shared" si="0"/>
        <v>May</v>
      </c>
      <c r="D40" t="s">
        <v>56</v>
      </c>
      <c r="E40" t="s">
        <v>22</v>
      </c>
      <c r="F40" s="4">
        <v>4</v>
      </c>
      <c r="G40" s="3">
        <v>413.2</v>
      </c>
      <c r="H40" s="3" t="str">
        <f>VLOOKUP(Sales!E:E, Table2[#All], 3,FALSE)</f>
        <v>Beauty</v>
      </c>
      <c r="I40" s="3" t="str">
        <f>VLOOKUP(D:D,Table3[#All], 4, FALSE)</f>
        <v>UK</v>
      </c>
      <c r="J40" s="2">
        <f>VLOOKUP(D:D,Table3[#All], 5, FALSE)</f>
        <v>45061</v>
      </c>
      <c r="K40" s="2" t="str">
        <f>TEXT(Table1[[#This Row],[SIGNUPDATE]], "mmm, yy")</f>
        <v>May, 23</v>
      </c>
      <c r="L40" s="3" t="str">
        <f>IFERROR(VLOOKUP(D:D,Customer_info!A:A, 1, FALSE), "Not found")</f>
        <v>CUST083</v>
      </c>
      <c r="M40" s="3"/>
    </row>
    <row r="41" spans="1:13">
      <c r="A41" t="s">
        <v>99</v>
      </c>
      <c r="B41" s="2">
        <v>45435</v>
      </c>
      <c r="C41" s="1" t="str">
        <f t="shared" si="0"/>
        <v>May</v>
      </c>
      <c r="D41" t="s">
        <v>100</v>
      </c>
      <c r="E41" t="s">
        <v>51</v>
      </c>
      <c r="F41" s="4">
        <v>4</v>
      </c>
      <c r="G41" s="3">
        <v>343.4</v>
      </c>
      <c r="H41" s="3" t="str">
        <f>VLOOKUP(Sales!E:E, Table2[#All], 3,FALSE)</f>
        <v>Beauty</v>
      </c>
      <c r="I41" s="3" t="str">
        <f>VLOOKUP(D:D,Table3[#All], 4, FALSE)</f>
        <v>US</v>
      </c>
      <c r="J41" s="2">
        <f>VLOOKUP(D:D,Table3[#All], 5, FALSE)</f>
        <v>45149</v>
      </c>
      <c r="K41" s="2" t="str">
        <f>TEXT(Table1[[#This Row],[SIGNUPDATE]], "mmm, yy")</f>
        <v>Aug, 23</v>
      </c>
      <c r="L41" s="3" t="str">
        <f>IFERROR(VLOOKUP(D:D,Customer_info!A:A, 1, FALSE), "Not found")</f>
        <v>CUST081</v>
      </c>
      <c r="M41" s="3"/>
    </row>
    <row r="42" spans="1:13">
      <c r="A42" t="s">
        <v>101</v>
      </c>
      <c r="B42" s="2">
        <v>45320</v>
      </c>
      <c r="C42" s="1" t="str">
        <f t="shared" si="0"/>
        <v>Jan</v>
      </c>
      <c r="D42" t="s">
        <v>79</v>
      </c>
      <c r="E42" t="s">
        <v>102</v>
      </c>
      <c r="F42" s="4">
        <v>1</v>
      </c>
      <c r="G42" s="3">
        <v>139.94999999999999</v>
      </c>
      <c r="H42" s="3" t="str">
        <f>VLOOKUP(Sales!E:E, Table2[#All], 3,FALSE)</f>
        <v>Beauty</v>
      </c>
      <c r="I42" s="3" t="str">
        <f>VLOOKUP(D:D,Table3[#All], 4, FALSE)</f>
        <v>UK</v>
      </c>
      <c r="J42" s="2">
        <f>VLOOKUP(D:D,Table3[#All], 5, FALSE)</f>
        <v>45175</v>
      </c>
      <c r="K42" s="2" t="str">
        <f>TEXT(Table1[[#This Row],[SIGNUPDATE]], "mmm, yy")</f>
        <v>Sep, 23</v>
      </c>
      <c r="L42" s="3" t="str">
        <f>IFERROR(VLOOKUP(D:D,Customer_info!A:A, 1, FALSE), "Not found")</f>
        <v>CUST098</v>
      </c>
      <c r="M42" s="3"/>
    </row>
    <row r="43" spans="1:13">
      <c r="A43" t="s">
        <v>103</v>
      </c>
      <c r="B43" s="2">
        <v>45468</v>
      </c>
      <c r="C43" s="1" t="str">
        <f t="shared" si="0"/>
        <v>Jun</v>
      </c>
      <c r="D43" t="s">
        <v>104</v>
      </c>
      <c r="E43" t="s">
        <v>13</v>
      </c>
      <c r="F43" s="4">
        <v>1</v>
      </c>
      <c r="G43" s="3">
        <v>236.69</v>
      </c>
      <c r="H43" s="3" t="str">
        <f>VLOOKUP(Sales!E:E, Table2[#All], 3,FALSE)</f>
        <v>Home</v>
      </c>
      <c r="I43" s="3" t="str">
        <f>VLOOKUP(D:D,Table3[#All], 4, FALSE)</f>
        <v>United Kingdom</v>
      </c>
      <c r="J43" s="2">
        <f>VLOOKUP(D:D,Table3[#All], 5, FALSE)</f>
        <v>44992</v>
      </c>
      <c r="K43" s="2" t="str">
        <f>TEXT(Table1[[#This Row],[SIGNUPDATE]], "mmm, yy")</f>
        <v>Mar, 23</v>
      </c>
      <c r="L43" s="3" t="str">
        <f>IFERROR(VLOOKUP(D:D,Customer_info!A:A, 1, FALSE), "Not found")</f>
        <v>CUST100</v>
      </c>
      <c r="M43" s="3"/>
    </row>
    <row r="44" spans="1:13">
      <c r="A44" t="s">
        <v>105</v>
      </c>
      <c r="B44" s="2">
        <v>45431</v>
      </c>
      <c r="C44" s="1" t="str">
        <f t="shared" si="0"/>
        <v>May</v>
      </c>
      <c r="D44" t="s">
        <v>106</v>
      </c>
      <c r="E44" t="s">
        <v>107</v>
      </c>
      <c r="F44" s="4">
        <v>2</v>
      </c>
      <c r="G44" s="3">
        <v>98.5</v>
      </c>
      <c r="H44" s="3" t="str">
        <f>VLOOKUP(Sales!E:E, Table2[#All], 3,FALSE)</f>
        <v>Sports</v>
      </c>
      <c r="I44" s="3" t="str">
        <f>VLOOKUP(D:D,Table3[#All], 4, FALSE)</f>
        <v>India</v>
      </c>
      <c r="J44" s="2">
        <f>VLOOKUP(D:D,Table3[#All], 5, FALSE)</f>
        <v>45079</v>
      </c>
      <c r="K44" s="2" t="str">
        <f>TEXT(Table1[[#This Row],[SIGNUPDATE]], "mmm, yy")</f>
        <v>Jun, 23</v>
      </c>
      <c r="L44" s="3" t="str">
        <f>IFERROR(VLOOKUP(D:D,Customer_info!A:A, 1, FALSE), "Not found")</f>
        <v>CUST086</v>
      </c>
      <c r="M44" s="3"/>
    </row>
    <row r="45" spans="1:13">
      <c r="A45" t="s">
        <v>108</v>
      </c>
      <c r="B45" s="2">
        <v>45386</v>
      </c>
      <c r="C45" s="1" t="str">
        <f t="shared" si="0"/>
        <v>Apr</v>
      </c>
      <c r="D45" t="s">
        <v>56</v>
      </c>
      <c r="E45" t="s">
        <v>37</v>
      </c>
      <c r="F45" s="4">
        <v>1</v>
      </c>
      <c r="G45" s="3">
        <v>334.32</v>
      </c>
      <c r="H45" s="3" t="str">
        <f>VLOOKUP(Sales!E:E, Table2[#All], 3,FALSE)</f>
        <v>Sports</v>
      </c>
      <c r="I45" s="3" t="str">
        <f>VLOOKUP(D:D,Table3[#All], 4, FALSE)</f>
        <v>UK</v>
      </c>
      <c r="J45" s="2">
        <f>VLOOKUP(D:D,Table3[#All], 5, FALSE)</f>
        <v>45061</v>
      </c>
      <c r="K45" s="2" t="str">
        <f>TEXT(Table1[[#This Row],[SIGNUPDATE]], "mmm, yy")</f>
        <v>May, 23</v>
      </c>
      <c r="L45" s="3" t="str">
        <f>IFERROR(VLOOKUP(D:D,Customer_info!A:A, 1, FALSE), "Not found")</f>
        <v>CUST083</v>
      </c>
      <c r="M45" s="3"/>
    </row>
    <row r="46" spans="1:13">
      <c r="A46" t="s">
        <v>109</v>
      </c>
      <c r="B46" s="2">
        <v>45433</v>
      </c>
      <c r="C46" s="1" t="str">
        <f t="shared" si="0"/>
        <v>May</v>
      </c>
      <c r="D46" t="s">
        <v>110</v>
      </c>
      <c r="E46" t="s">
        <v>43</v>
      </c>
      <c r="F46" s="4">
        <v>5</v>
      </c>
      <c r="G46" s="3">
        <v>1363.9</v>
      </c>
      <c r="H46" s="3" t="str">
        <f>VLOOKUP(Sales!E:E, Table2[#All], 3,FALSE)</f>
        <v>Clothing</v>
      </c>
      <c r="I46" s="3" t="str">
        <f>VLOOKUP(D:D,Table3[#All], 4, FALSE)</f>
        <v>United Kingdom</v>
      </c>
      <c r="J46" s="2">
        <f>VLOOKUP(D:D,Table3[#All], 5, FALSE)</f>
        <v>45062</v>
      </c>
      <c r="K46" s="2" t="str">
        <f>TEXT(Table1[[#This Row],[SIGNUPDATE]], "mmm, yy")</f>
        <v>May, 23</v>
      </c>
      <c r="L46" s="3" t="str">
        <f>IFERROR(VLOOKUP(D:D,Customer_info!A:A, 1, FALSE), "Not found")</f>
        <v>CUST059</v>
      </c>
      <c r="M46" s="3"/>
    </row>
    <row r="47" spans="1:13">
      <c r="A47" t="s">
        <v>111</v>
      </c>
      <c r="B47" s="2">
        <v>45402</v>
      </c>
      <c r="C47" s="1" t="str">
        <f t="shared" si="0"/>
        <v>Apr</v>
      </c>
      <c r="D47" t="s">
        <v>112</v>
      </c>
      <c r="E47" t="s">
        <v>113</v>
      </c>
      <c r="F47" s="4">
        <v>2</v>
      </c>
      <c r="G47" s="3">
        <v>454.26</v>
      </c>
      <c r="H47" s="3" t="str">
        <f>VLOOKUP(Sales!E:E, Table2[#All], 3,FALSE)</f>
        <v>Electronics</v>
      </c>
      <c r="I47" s="3" t="str">
        <f>VLOOKUP(D:D,Table3[#All], 4, FALSE)</f>
        <v>India</v>
      </c>
      <c r="J47" s="2">
        <f>VLOOKUP(D:D,Table3[#All], 5, FALSE)</f>
        <v>45093</v>
      </c>
      <c r="K47" s="2" t="str">
        <f>TEXT(Table1[[#This Row],[SIGNUPDATE]], "mmm, yy")</f>
        <v>Jun, 23</v>
      </c>
      <c r="L47" s="3" t="str">
        <f>IFERROR(VLOOKUP(D:D,Customer_info!A:A, 1, FALSE), "Not found")</f>
        <v>CUST050</v>
      </c>
      <c r="M47" s="3"/>
    </row>
    <row r="48" spans="1:13">
      <c r="A48" t="s">
        <v>114</v>
      </c>
      <c r="B48" s="2">
        <v>45302</v>
      </c>
      <c r="C48" s="1" t="str">
        <f t="shared" si="0"/>
        <v>Jan</v>
      </c>
      <c r="D48" t="s">
        <v>115</v>
      </c>
      <c r="E48" t="s">
        <v>34</v>
      </c>
      <c r="F48" s="4">
        <v>2</v>
      </c>
      <c r="G48" s="3">
        <v>584.67999999999995</v>
      </c>
      <c r="H48" s="3" t="str">
        <f>VLOOKUP(Sales!E:E, Table2[#All], 3,FALSE)</f>
        <v>Sports</v>
      </c>
      <c r="I48" s="3" t="str">
        <f>VLOOKUP(D:D,Table3[#All], 4, FALSE)</f>
        <v>United Kingdom</v>
      </c>
      <c r="J48" s="2">
        <f>VLOOKUP(D:D,Table3[#All], 5, FALSE)</f>
        <v>45228</v>
      </c>
      <c r="K48" s="2" t="str">
        <f>TEXT(Table1[[#This Row],[SIGNUPDATE]], "mmm, yy")</f>
        <v>Oct, 23</v>
      </c>
      <c r="L48" s="3" t="str">
        <f>IFERROR(VLOOKUP(D:D,Customer_info!A:A, 1, FALSE), "Not found")</f>
        <v>CUST116</v>
      </c>
      <c r="M48" s="3"/>
    </row>
    <row r="49" spans="1:13">
      <c r="A49" t="s">
        <v>116</v>
      </c>
      <c r="B49" s="2">
        <v>45385</v>
      </c>
      <c r="C49" s="1" t="str">
        <f t="shared" si="0"/>
        <v>Apr</v>
      </c>
      <c r="D49" t="s">
        <v>73</v>
      </c>
      <c r="E49" t="s">
        <v>59</v>
      </c>
      <c r="F49" s="4">
        <v>3</v>
      </c>
      <c r="G49" s="3">
        <v>274.47000000000003</v>
      </c>
      <c r="H49" s="3" t="str">
        <f>VLOOKUP(Sales!E:E, Table2[#All], 3,FALSE)</f>
        <v>Clothing</v>
      </c>
      <c r="I49" s="3" t="str">
        <f>VLOOKUP(D:D,Table3[#All], 4, FALSE)</f>
        <v>India</v>
      </c>
      <c r="J49" s="2">
        <f>VLOOKUP(D:D,Table3[#All], 5, FALSE)</f>
        <v>44984</v>
      </c>
      <c r="K49" s="2" t="str">
        <f>TEXT(Table1[[#This Row],[SIGNUPDATE]], "mmm, yy")</f>
        <v>Feb, 23</v>
      </c>
      <c r="L49" s="3" t="str">
        <f>IFERROR(VLOOKUP(D:D,Customer_info!A:A, 1, FALSE), "Not found")</f>
        <v>CUST001</v>
      </c>
      <c r="M49" s="3"/>
    </row>
    <row r="50" spans="1:13">
      <c r="A50" t="s">
        <v>117</v>
      </c>
      <c r="B50" s="2">
        <v>45383</v>
      </c>
      <c r="C50" s="1" t="str">
        <f t="shared" si="0"/>
        <v>Apr</v>
      </c>
      <c r="D50" t="s">
        <v>12</v>
      </c>
      <c r="E50" t="s">
        <v>27</v>
      </c>
      <c r="F50" s="4">
        <v>1</v>
      </c>
      <c r="G50" s="3">
        <v>452.2</v>
      </c>
      <c r="H50" s="3" t="str">
        <f>VLOOKUP(Sales!E:E, Table2[#All], 3,FALSE)</f>
        <v>Beauty</v>
      </c>
      <c r="I50" s="3" t="str">
        <f>VLOOKUP(D:D,Table3[#All], 4, FALSE)</f>
        <v>Canada</v>
      </c>
      <c r="J50" s="2">
        <f>VLOOKUP(D:D,Table3[#All], 5, FALSE)</f>
        <v>44927</v>
      </c>
      <c r="K50" s="2" t="str">
        <f>TEXT(Table1[[#This Row],[SIGNUPDATE]], "mmm, yy")</f>
        <v>Jan, 23</v>
      </c>
      <c r="L50" s="3" t="str">
        <f>IFERROR(VLOOKUP(D:D,Customer_info!A:A, 1, FALSE), "Not found")</f>
        <v>CUST091</v>
      </c>
      <c r="M50" s="3"/>
    </row>
    <row r="51" spans="1:13">
      <c r="A51" t="s">
        <v>118</v>
      </c>
      <c r="B51" s="2">
        <v>45466</v>
      </c>
      <c r="C51" s="1" t="str">
        <f t="shared" si="0"/>
        <v>Jun</v>
      </c>
      <c r="D51" t="s">
        <v>119</v>
      </c>
      <c r="E51" t="s">
        <v>48</v>
      </c>
      <c r="F51" s="4">
        <v>2</v>
      </c>
      <c r="G51" s="3">
        <v>587.6</v>
      </c>
      <c r="H51" s="3" t="str">
        <f>VLOOKUP(Sales!E:E, Table2[#All], 3,FALSE)</f>
        <v>Electronics</v>
      </c>
      <c r="I51" s="3" t="str">
        <f>VLOOKUP(D:D,Table3[#All], 4, FALSE)</f>
        <v>UK</v>
      </c>
      <c r="J51" s="2">
        <f>VLOOKUP(D:D,Table3[#All], 5, FALSE)</f>
        <v>45050</v>
      </c>
      <c r="K51" s="2" t="str">
        <f>TEXT(Table1[[#This Row],[SIGNUPDATE]], "mmm, yy")</f>
        <v>May, 23</v>
      </c>
      <c r="L51" s="3" t="str">
        <f>IFERROR(VLOOKUP(D:D,Customer_info!A:A, 1, FALSE), "Not found")</f>
        <v>CUST096</v>
      </c>
      <c r="M51" s="3"/>
    </row>
    <row r="52" spans="1:13">
      <c r="A52" t="s">
        <v>120</v>
      </c>
      <c r="B52" s="2">
        <v>45462</v>
      </c>
      <c r="C52" s="1" t="str">
        <f t="shared" si="0"/>
        <v>Jun</v>
      </c>
      <c r="D52" t="s">
        <v>24</v>
      </c>
      <c r="E52" t="s">
        <v>121</v>
      </c>
      <c r="F52" s="4">
        <v>2</v>
      </c>
      <c r="G52" s="3">
        <v>174.28</v>
      </c>
      <c r="H52" s="3" t="str">
        <f>VLOOKUP(Sales!E:E, Table2[#All], 3,FALSE)</f>
        <v>Sports</v>
      </c>
      <c r="I52" s="3" t="str">
        <f>VLOOKUP(D:D,Table3[#All], 4, FALSE)</f>
        <v>United Kingdom</v>
      </c>
      <c r="J52" s="2">
        <f>VLOOKUP(D:D,Table3[#All], 5, FALSE)</f>
        <v>45053</v>
      </c>
      <c r="K52" s="2" t="str">
        <f>TEXT(Table1[[#This Row],[SIGNUPDATE]], "mmm, yy")</f>
        <v>May, 23</v>
      </c>
      <c r="L52" s="3" t="str">
        <f>IFERROR(VLOOKUP(D:D,Customer_info!A:A, 1, FALSE), "Not found")</f>
        <v>CUST060</v>
      </c>
      <c r="M52" s="3"/>
    </row>
    <row r="53" spans="1:13">
      <c r="A53" t="s">
        <v>122</v>
      </c>
      <c r="B53" s="2">
        <v>45382</v>
      </c>
      <c r="C53" s="1" t="str">
        <f t="shared" si="0"/>
        <v>Mar</v>
      </c>
      <c r="D53" t="s">
        <v>24</v>
      </c>
      <c r="E53" t="s">
        <v>123</v>
      </c>
      <c r="F53" s="4">
        <v>1</v>
      </c>
      <c r="G53" s="3">
        <v>39.700000000000003</v>
      </c>
      <c r="H53" s="3" t="str">
        <f>VLOOKUP(Sales!E:E, Table2[#All], 3,FALSE)</f>
        <v>Electronics</v>
      </c>
      <c r="I53" s="3" t="str">
        <f>VLOOKUP(D:D,Table3[#All], 4, FALSE)</f>
        <v>United Kingdom</v>
      </c>
      <c r="J53" s="2">
        <f>VLOOKUP(D:D,Table3[#All], 5, FALSE)</f>
        <v>45053</v>
      </c>
      <c r="K53" s="2" t="str">
        <f>TEXT(Table1[[#This Row],[SIGNUPDATE]], "mmm, yy")</f>
        <v>May, 23</v>
      </c>
      <c r="L53" s="3" t="str">
        <f>IFERROR(VLOOKUP(D:D,Customer_info!A:A, 1, FALSE), "Not found")</f>
        <v>CUST060</v>
      </c>
      <c r="M53" s="3"/>
    </row>
    <row r="54" spans="1:13">
      <c r="A54" t="s">
        <v>124</v>
      </c>
      <c r="B54" s="2">
        <v>45396</v>
      </c>
      <c r="C54" s="1" t="str">
        <f t="shared" si="0"/>
        <v>Apr</v>
      </c>
      <c r="D54" t="s">
        <v>125</v>
      </c>
      <c r="E54" t="s">
        <v>80</v>
      </c>
      <c r="F54" s="4">
        <v>5</v>
      </c>
      <c r="G54" s="3">
        <v>2166.4</v>
      </c>
      <c r="H54" s="3" t="str">
        <f>VLOOKUP(Sales!E:E, Table2[#All], 3,FALSE)</f>
        <v>Beauty</v>
      </c>
      <c r="I54" s="3" t="str">
        <f>VLOOKUP(D:D,Table3[#All], 4, FALSE)</f>
        <v>India</v>
      </c>
      <c r="J54" s="2">
        <f>VLOOKUP(D:D,Table3[#All], 5, FALSE)</f>
        <v>45258</v>
      </c>
      <c r="K54" s="2" t="str">
        <f>TEXT(Table1[[#This Row],[SIGNUPDATE]], "mmm, yy")</f>
        <v>Nov, 23</v>
      </c>
      <c r="L54" s="3" t="str">
        <f>IFERROR(VLOOKUP(D:D,Customer_info!A:A, 1, FALSE), "Not found")</f>
        <v>CUST042</v>
      </c>
      <c r="M54" s="3"/>
    </row>
    <row r="55" spans="1:13">
      <c r="A55" t="s">
        <v>126</v>
      </c>
      <c r="B55" s="2">
        <v>45331</v>
      </c>
      <c r="C55" s="1" t="str">
        <f t="shared" si="0"/>
        <v>Feb</v>
      </c>
      <c r="D55" t="s">
        <v>127</v>
      </c>
      <c r="E55" t="s">
        <v>128</v>
      </c>
      <c r="F55" s="4">
        <v>5</v>
      </c>
      <c r="G55" s="3">
        <v>583.35</v>
      </c>
      <c r="H55" s="3" t="str">
        <f>VLOOKUP(Sales!E:E, Table2[#All], 3,FALSE)</f>
        <v>Home</v>
      </c>
      <c r="I55" s="3" t="str">
        <f>VLOOKUP(D:D,Table3[#All], 4, FALSE)</f>
        <v>Canada</v>
      </c>
      <c r="J55" s="2">
        <f>VLOOKUP(D:D,Table3[#All], 5, FALSE)</f>
        <v>44981</v>
      </c>
      <c r="K55" s="2" t="str">
        <f>TEXT(Table1[[#This Row],[SIGNUPDATE]], "mmm, yy")</f>
        <v>Feb, 23</v>
      </c>
      <c r="L55" s="3" t="str">
        <f>IFERROR(VLOOKUP(D:D,Customer_info!A:A, 1, FALSE), "Not found")</f>
        <v>CUST085</v>
      </c>
      <c r="M55" s="3"/>
    </row>
    <row r="56" spans="1:13">
      <c r="A56" t="s">
        <v>129</v>
      </c>
      <c r="B56" s="2">
        <v>45333</v>
      </c>
      <c r="C56" s="1" t="str">
        <f t="shared" si="0"/>
        <v>Feb</v>
      </c>
      <c r="D56" t="s">
        <v>130</v>
      </c>
      <c r="E56" t="s">
        <v>131</v>
      </c>
      <c r="F56" s="4">
        <v>2</v>
      </c>
      <c r="G56" s="3">
        <v>675.6</v>
      </c>
      <c r="H56" s="3" t="str">
        <f>VLOOKUP(Sales!E:E, Table2[#All], 3,FALSE)</f>
        <v>Home</v>
      </c>
      <c r="I56" s="3" t="str">
        <f>VLOOKUP(D:D,Table3[#All], 4, FALSE)</f>
        <v>Canada</v>
      </c>
      <c r="J56" s="2">
        <f>VLOOKUP(D:D,Table3[#All], 5, FALSE)</f>
        <v>45018</v>
      </c>
      <c r="K56" s="2" t="str">
        <f>TEXT(Table1[[#This Row],[SIGNUPDATE]], "mmm, yy")</f>
        <v>Apr, 23</v>
      </c>
      <c r="L56" s="3" t="str">
        <f>IFERROR(VLOOKUP(D:D,Customer_info!A:A, 1, FALSE), "Not found")</f>
        <v>CUST084</v>
      </c>
      <c r="M56" s="3"/>
    </row>
    <row r="57" spans="1:13">
      <c r="A57" t="s">
        <v>132</v>
      </c>
      <c r="B57" s="2">
        <v>45397</v>
      </c>
      <c r="C57" s="1" t="str">
        <f t="shared" si="0"/>
        <v>Apr</v>
      </c>
      <c r="D57" t="s">
        <v>36</v>
      </c>
      <c r="E57" t="s">
        <v>25</v>
      </c>
      <c r="F57" s="4">
        <v>2</v>
      </c>
      <c r="G57" s="3">
        <v>299.54000000000002</v>
      </c>
      <c r="H57" s="3" t="str">
        <f>VLOOKUP(Sales!E:E, Table2[#All], 3,FALSE)</f>
        <v>Beauty</v>
      </c>
      <c r="I57" s="3" t="str">
        <f>VLOOKUP(D:D,Table3[#All], 4, FALSE)</f>
        <v>US</v>
      </c>
      <c r="J57" s="2">
        <f>VLOOKUP(D:D,Table3[#All], 5, FALSE)</f>
        <v>45151</v>
      </c>
      <c r="K57" s="2" t="str">
        <f>TEXT(Table1[[#This Row],[SIGNUPDATE]], "mmm, yy")</f>
        <v>Aug, 23</v>
      </c>
      <c r="L57" s="3" t="str">
        <f>IFERROR(VLOOKUP(D:D,Customer_info!A:A, 1, FALSE), "Not found")</f>
        <v>CUST110</v>
      </c>
      <c r="M57" s="3"/>
    </row>
    <row r="58" spans="1:13">
      <c r="A58" t="s">
        <v>133</v>
      </c>
      <c r="B58" s="2">
        <v>45337</v>
      </c>
      <c r="C58" s="1" t="str">
        <f t="shared" si="0"/>
        <v>Feb</v>
      </c>
      <c r="D58" t="s">
        <v>134</v>
      </c>
      <c r="E58" t="s">
        <v>135</v>
      </c>
      <c r="F58" s="4">
        <v>1</v>
      </c>
      <c r="G58" s="3">
        <v>431.22</v>
      </c>
      <c r="H58" s="3" t="str">
        <f>VLOOKUP(Sales!E:E, Table2[#All], 3,FALSE)</f>
        <v>Electronics</v>
      </c>
      <c r="I58" s="3" t="str">
        <f>VLOOKUP(D:D,Table3[#All], 4, FALSE)</f>
        <v>India</v>
      </c>
      <c r="J58" s="2">
        <f>VLOOKUP(D:D,Table3[#All], 5, FALSE)</f>
        <v>45206</v>
      </c>
      <c r="K58" s="2" t="str">
        <f>TEXT(Table1[[#This Row],[SIGNUPDATE]], "mmm, yy")</f>
        <v>Oct, 23</v>
      </c>
      <c r="L58" s="3" t="str">
        <f>IFERROR(VLOOKUP(D:D,Customer_info!A:A, 1, FALSE), "Not found")</f>
        <v>CUST005</v>
      </c>
      <c r="M58" s="3"/>
    </row>
    <row r="59" spans="1:13">
      <c r="A59" t="s">
        <v>136</v>
      </c>
      <c r="B59" s="2">
        <v>45397</v>
      </c>
      <c r="C59" s="1" t="str">
        <f t="shared" si="0"/>
        <v>Apr</v>
      </c>
      <c r="D59" t="s">
        <v>84</v>
      </c>
      <c r="E59" t="s">
        <v>67</v>
      </c>
      <c r="F59" s="4">
        <v>3</v>
      </c>
      <c r="G59" s="3">
        <v>1206.8699999999999</v>
      </c>
      <c r="H59" s="3" t="str">
        <f>VLOOKUP(Sales!E:E, Table2[#All], 3,FALSE)</f>
        <v>Home</v>
      </c>
      <c r="I59" s="3" t="str">
        <f>VLOOKUP(D:D,Table3[#All], 4, FALSE)</f>
        <v>United Kingdom</v>
      </c>
      <c r="J59" s="2">
        <f>VLOOKUP(D:D,Table3[#All], 5, FALSE)</f>
        <v>45118</v>
      </c>
      <c r="K59" s="2" t="str">
        <f>TEXT(Table1[[#This Row],[SIGNUPDATE]], "mmm, yy")</f>
        <v>Jul, 23</v>
      </c>
      <c r="L59" s="3" t="str">
        <f>IFERROR(VLOOKUP(D:D,Customer_info!A:A, 1, FALSE), "Not found")</f>
        <v>CUST089</v>
      </c>
      <c r="M59" s="3"/>
    </row>
    <row r="60" spans="1:13">
      <c r="A60" t="s">
        <v>137</v>
      </c>
      <c r="B60" s="2">
        <v>45360</v>
      </c>
      <c r="C60" s="1" t="str">
        <f t="shared" si="0"/>
        <v>Mar</v>
      </c>
      <c r="D60" t="s">
        <v>138</v>
      </c>
      <c r="E60" t="s">
        <v>71</v>
      </c>
      <c r="F60" s="4">
        <v>2</v>
      </c>
      <c r="G60" s="3">
        <v>433.44</v>
      </c>
      <c r="H60" s="3" t="str">
        <f>VLOOKUP(Sales!E:E, Table2[#All], 3,FALSE)</f>
        <v>Clothing</v>
      </c>
      <c r="I60" s="3" t="str">
        <f>VLOOKUP(D:D,Table3[#All], 4, FALSE)</f>
        <v>US</v>
      </c>
      <c r="J60" s="2">
        <f>VLOOKUP(D:D,Table3[#All], 5, FALSE)</f>
        <v>45222</v>
      </c>
      <c r="K60" s="2" t="str">
        <f>TEXT(Table1[[#This Row],[SIGNUPDATE]], "mmm, yy")</f>
        <v>Oct, 23</v>
      </c>
      <c r="L60" s="3" t="str">
        <f>IFERROR(VLOOKUP(D:D,Customer_info!A:A, 1, FALSE), "Not found")</f>
        <v>CUST030</v>
      </c>
      <c r="M60" s="3"/>
    </row>
    <row r="61" spans="1:13">
      <c r="A61" t="s">
        <v>139</v>
      </c>
      <c r="B61" s="2">
        <v>45471</v>
      </c>
      <c r="C61" s="1" t="str">
        <f t="shared" si="0"/>
        <v>Jun</v>
      </c>
      <c r="D61" t="s">
        <v>140</v>
      </c>
      <c r="E61" t="s">
        <v>27</v>
      </c>
      <c r="F61" s="4">
        <v>2</v>
      </c>
      <c r="G61" s="3">
        <v>904.4</v>
      </c>
      <c r="H61" s="3" t="str">
        <f>VLOOKUP(Sales!E:E, Table2[#All], 3,FALSE)</f>
        <v>Beauty</v>
      </c>
      <c r="I61" s="3" t="str">
        <f>VLOOKUP(D:D,Table3[#All], 4, FALSE)</f>
        <v>India</v>
      </c>
      <c r="J61" s="2">
        <f>VLOOKUP(D:D,Table3[#All], 5, FALSE)</f>
        <v>45170</v>
      </c>
      <c r="K61" s="2" t="str">
        <f>TEXT(Table1[[#This Row],[SIGNUPDATE]], "mmm, yy")</f>
        <v>Sep, 23</v>
      </c>
      <c r="L61" s="3" t="str">
        <f>IFERROR(VLOOKUP(D:D,Customer_info!A:A, 1, FALSE), "Not found")</f>
        <v>CUST101</v>
      </c>
      <c r="M61" s="3"/>
    </row>
    <row r="62" spans="1:13">
      <c r="A62" t="s">
        <v>141</v>
      </c>
      <c r="B62" s="2">
        <v>45389</v>
      </c>
      <c r="C62" s="1" t="str">
        <f t="shared" si="0"/>
        <v>Apr</v>
      </c>
      <c r="D62" t="s">
        <v>142</v>
      </c>
      <c r="E62" t="s">
        <v>80</v>
      </c>
      <c r="F62" s="4">
        <v>1</v>
      </c>
      <c r="G62" s="3">
        <v>433.28</v>
      </c>
      <c r="H62" s="3" t="str">
        <f>VLOOKUP(Sales!E:E, Table2[#All], 3,FALSE)</f>
        <v>Beauty</v>
      </c>
      <c r="I62" s="3" t="str">
        <f>VLOOKUP(D:D,Table3[#All], 4, FALSE)</f>
        <v>Canada</v>
      </c>
      <c r="J62" s="2">
        <f>VLOOKUP(D:D,Table3[#All], 5, FALSE)</f>
        <v>45055</v>
      </c>
      <c r="K62" s="2" t="str">
        <f>TEXT(Table1[[#This Row],[SIGNUPDATE]], "mmm, yy")</f>
        <v>May, 23</v>
      </c>
      <c r="L62" s="3" t="str">
        <f>IFERROR(VLOOKUP(D:D,Customer_info!A:A, 1, FALSE), "Not found")</f>
        <v>CUST075</v>
      </c>
      <c r="M62" s="3"/>
    </row>
    <row r="63" spans="1:13">
      <c r="A63" t="s">
        <v>143</v>
      </c>
      <c r="B63" s="2">
        <v>45412</v>
      </c>
      <c r="C63" s="1" t="str">
        <f t="shared" si="0"/>
        <v>Apr</v>
      </c>
      <c r="D63" t="s">
        <v>144</v>
      </c>
      <c r="E63" t="s">
        <v>145</v>
      </c>
      <c r="F63" s="4">
        <v>1</v>
      </c>
      <c r="G63" s="3">
        <v>332.9</v>
      </c>
      <c r="H63" s="3" t="str">
        <f>VLOOKUP(Sales!E:E, Table2[#All], 3,FALSE)</f>
        <v>Electronics</v>
      </c>
      <c r="I63" s="3" t="str">
        <f>VLOOKUP(D:D,Table3[#All], 4, FALSE)</f>
        <v>United Kingdom</v>
      </c>
      <c r="J63" s="2">
        <f>VLOOKUP(D:D,Table3[#All], 5, FALSE)</f>
        <v>44997</v>
      </c>
      <c r="K63" s="2" t="str">
        <f>TEXT(Table1[[#This Row],[SIGNUPDATE]], "mmm, yy")</f>
        <v>Mar, 23</v>
      </c>
      <c r="L63" s="3" t="str">
        <f>IFERROR(VLOOKUP(D:D,Customer_info!A:A, 1, FALSE), "Not found")</f>
        <v>CUST066</v>
      </c>
      <c r="M63" s="3"/>
    </row>
    <row r="64" spans="1:13">
      <c r="A64" t="s">
        <v>146</v>
      </c>
      <c r="B64" s="2">
        <v>45343</v>
      </c>
      <c r="C64" s="1" t="str">
        <f t="shared" si="0"/>
        <v>Feb</v>
      </c>
      <c r="D64" t="s">
        <v>104</v>
      </c>
      <c r="E64" t="s">
        <v>147</v>
      </c>
      <c r="F64" s="4">
        <v>2</v>
      </c>
      <c r="G64" s="3">
        <v>679.9</v>
      </c>
      <c r="H64" s="3" t="str">
        <f>VLOOKUP(Sales!E:E, Table2[#All], 3,FALSE)</f>
        <v>Electronics</v>
      </c>
      <c r="I64" s="3" t="str">
        <f>VLOOKUP(D:D,Table3[#All], 4, FALSE)</f>
        <v>United Kingdom</v>
      </c>
      <c r="J64" s="2">
        <f>VLOOKUP(D:D,Table3[#All], 5, FALSE)</f>
        <v>44992</v>
      </c>
      <c r="K64" s="2" t="str">
        <f>TEXT(Table1[[#This Row],[SIGNUPDATE]], "mmm, yy")</f>
        <v>Mar, 23</v>
      </c>
      <c r="L64" s="3" t="str">
        <f>IFERROR(VLOOKUP(D:D,Customer_info!A:A, 1, FALSE), "Not found")</f>
        <v>CUST100</v>
      </c>
      <c r="M64" s="3"/>
    </row>
    <row r="65" spans="1:13">
      <c r="A65" t="s">
        <v>148</v>
      </c>
      <c r="B65" s="2">
        <v>45381</v>
      </c>
      <c r="C65" s="1" t="str">
        <f t="shared" si="0"/>
        <v>Mar</v>
      </c>
      <c r="D65" t="s">
        <v>149</v>
      </c>
      <c r="E65" t="s">
        <v>123</v>
      </c>
      <c r="F65" s="4">
        <v>4</v>
      </c>
      <c r="G65" s="3">
        <v>158.80000000000001</v>
      </c>
      <c r="H65" s="3" t="str">
        <f>VLOOKUP(Sales!E:E, Table2[#All], 3,FALSE)</f>
        <v>Electronics</v>
      </c>
      <c r="I65" s="3" t="str">
        <f>VLOOKUP(D:D,Table3[#All], 4, FALSE)</f>
        <v>United Kingdom</v>
      </c>
      <c r="J65" s="2">
        <f>VLOOKUP(D:D,Table3[#All], 5, FALSE)</f>
        <v>45259</v>
      </c>
      <c r="K65" s="2" t="str">
        <f>TEXT(Table1[[#This Row],[SIGNUPDATE]], "mmm, yy")</f>
        <v>Nov, 23</v>
      </c>
      <c r="L65" s="3" t="str">
        <f>IFERROR(VLOOKUP(D:D,Customer_info!A:A, 1, FALSE), "Not found")</f>
        <v>CUST012</v>
      </c>
      <c r="M65" s="3"/>
    </row>
    <row r="66" spans="1:13">
      <c r="A66" t="s">
        <v>150</v>
      </c>
      <c r="B66" s="2">
        <v>45350</v>
      </c>
      <c r="C66" s="1" t="str">
        <f t="shared" si="0"/>
        <v>Feb</v>
      </c>
      <c r="D66" t="s">
        <v>12</v>
      </c>
      <c r="E66" t="s">
        <v>151</v>
      </c>
      <c r="F66" s="4">
        <v>3</v>
      </c>
      <c r="G66" s="3">
        <v>1022.55</v>
      </c>
      <c r="H66" s="3" t="str">
        <f>VLOOKUP(Sales!E:E, Table2[#All], 3,FALSE)</f>
        <v>Electronics</v>
      </c>
      <c r="I66" s="3" t="str">
        <f>VLOOKUP(D:D,Table3[#All], 4, FALSE)</f>
        <v>Canada</v>
      </c>
      <c r="J66" s="2">
        <f>VLOOKUP(D:D,Table3[#All], 5, FALSE)</f>
        <v>44927</v>
      </c>
      <c r="K66" s="2" t="str">
        <f>TEXT(Table1[[#This Row],[SIGNUPDATE]], "mmm, yy")</f>
        <v>Jan, 23</v>
      </c>
      <c r="L66" s="3" t="str">
        <f>IFERROR(VLOOKUP(D:D,Customer_info!A:A, 1, FALSE), "Not found")</f>
        <v>CUST091</v>
      </c>
      <c r="M66" s="3"/>
    </row>
    <row r="67" spans="1:13">
      <c r="A67" t="s">
        <v>152</v>
      </c>
      <c r="B67" s="2">
        <v>45298</v>
      </c>
      <c r="C67" s="1" t="str">
        <f t="shared" si="0"/>
        <v>Jan</v>
      </c>
      <c r="D67" t="s">
        <v>88</v>
      </c>
      <c r="E67" t="s">
        <v>59</v>
      </c>
      <c r="F67" s="4">
        <v>2</v>
      </c>
      <c r="G67" s="3">
        <v>182.98</v>
      </c>
      <c r="H67" s="3" t="str">
        <f>VLOOKUP(Sales!E:E, Table2[#All], 3,FALSE)</f>
        <v>Clothing</v>
      </c>
      <c r="I67" s="3" t="str">
        <f>VLOOKUP(D:D,Table3[#All], 4, FALSE)</f>
        <v>UK</v>
      </c>
      <c r="J67" s="2">
        <f>VLOOKUP(D:D,Table3[#All], 5, FALSE)</f>
        <v>45067</v>
      </c>
      <c r="K67" s="2" t="str">
        <f>TEXT(Table1[[#This Row],[SIGNUPDATE]], "mmm, yy")</f>
        <v>May, 23</v>
      </c>
      <c r="L67" s="3" t="str">
        <f>IFERROR(VLOOKUP(D:D,Customer_info!A:A, 1, FALSE), "Not found")</f>
        <v>CUST002</v>
      </c>
      <c r="M67" s="3"/>
    </row>
    <row r="68" spans="1:13">
      <c r="A68" t="s">
        <v>153</v>
      </c>
      <c r="B68" s="2">
        <v>45394</v>
      </c>
      <c r="C68" s="1" t="str">
        <f t="shared" ref="C68:C131" si="1">TEXT(B68, "mmm")</f>
        <v>Apr</v>
      </c>
      <c r="D68" t="s">
        <v>36</v>
      </c>
      <c r="E68" t="s">
        <v>147</v>
      </c>
      <c r="F68" s="4">
        <v>2</v>
      </c>
      <c r="G68" s="3">
        <v>679.9</v>
      </c>
      <c r="H68" s="3" t="str">
        <f>VLOOKUP(Sales!E:E, Table2[#All], 3,FALSE)</f>
        <v>Electronics</v>
      </c>
      <c r="I68" s="3" t="str">
        <f>VLOOKUP(D:D,Table3[#All], 4, FALSE)</f>
        <v>US</v>
      </c>
      <c r="J68" s="2">
        <f>VLOOKUP(D:D,Table3[#All], 5, FALSE)</f>
        <v>45151</v>
      </c>
      <c r="K68" s="2" t="str">
        <f>TEXT(Table1[[#This Row],[SIGNUPDATE]], "mmm, yy")</f>
        <v>Aug, 23</v>
      </c>
      <c r="L68" s="3" t="str">
        <f>IFERROR(VLOOKUP(D:D,Customer_info!A:A, 1, FALSE), "Not found")</f>
        <v>CUST110</v>
      </c>
      <c r="M68" s="3"/>
    </row>
    <row r="69" spans="1:13">
      <c r="A69" t="s">
        <v>154</v>
      </c>
      <c r="B69" s="2">
        <v>45363</v>
      </c>
      <c r="C69" s="1" t="str">
        <f t="shared" si="1"/>
        <v>Mar</v>
      </c>
      <c r="D69" t="s">
        <v>50</v>
      </c>
      <c r="E69" t="s">
        <v>13</v>
      </c>
      <c r="F69" s="4">
        <v>3</v>
      </c>
      <c r="G69" s="3">
        <v>710.07</v>
      </c>
      <c r="H69" s="3" t="str">
        <f>VLOOKUP(Sales!E:E, Table2[#All], 3,FALSE)</f>
        <v>Home</v>
      </c>
      <c r="I69" s="3" t="str">
        <f>VLOOKUP(D:D,Table3[#All], 4, FALSE)</f>
        <v>US</v>
      </c>
      <c r="J69" s="2">
        <f>VLOOKUP(D:D,Table3[#All], 5, FALSE)</f>
        <v>44984</v>
      </c>
      <c r="K69" s="2" t="str">
        <f>TEXT(Table1[[#This Row],[SIGNUPDATE]], "mmm, yy")</f>
        <v>Feb, 23</v>
      </c>
      <c r="L69" s="3" t="str">
        <f>IFERROR(VLOOKUP(D:D,Customer_info!A:A, 1, FALSE), "Not found")</f>
        <v>CUST080</v>
      </c>
      <c r="M69" s="3"/>
    </row>
    <row r="70" spans="1:13">
      <c r="A70" t="s">
        <v>155</v>
      </c>
      <c r="B70" s="2">
        <v>45363</v>
      </c>
      <c r="C70" s="1" t="str">
        <f t="shared" si="1"/>
        <v>Mar</v>
      </c>
      <c r="D70" t="s">
        <v>104</v>
      </c>
      <c r="E70" t="s">
        <v>48</v>
      </c>
      <c r="F70" s="4">
        <v>1</v>
      </c>
      <c r="G70" s="3">
        <v>293.8</v>
      </c>
      <c r="H70" s="3" t="str">
        <f>VLOOKUP(Sales!E:E, Table2[#All], 3,FALSE)</f>
        <v>Electronics</v>
      </c>
      <c r="I70" s="3" t="str">
        <f>VLOOKUP(D:D,Table3[#All], 4, FALSE)</f>
        <v>United Kingdom</v>
      </c>
      <c r="J70" s="2">
        <f>VLOOKUP(D:D,Table3[#All], 5, FALSE)</f>
        <v>44992</v>
      </c>
      <c r="K70" s="2" t="str">
        <f>TEXT(Table1[[#This Row],[SIGNUPDATE]], "mmm, yy")</f>
        <v>Mar, 23</v>
      </c>
      <c r="L70" s="3" t="str">
        <f>IFERROR(VLOOKUP(D:D,Customer_info!A:A, 1, FALSE), "Not found")</f>
        <v>CUST100</v>
      </c>
      <c r="M70" s="3"/>
    </row>
    <row r="71" spans="1:13">
      <c r="A71" t="s">
        <v>156</v>
      </c>
      <c r="B71" s="2">
        <v>45456</v>
      </c>
      <c r="C71" s="1" t="str">
        <f t="shared" si="1"/>
        <v>Jun</v>
      </c>
      <c r="D71" t="s">
        <v>110</v>
      </c>
      <c r="E71" t="s">
        <v>59</v>
      </c>
      <c r="F71" s="4">
        <v>3</v>
      </c>
      <c r="G71" s="3">
        <v>274.47000000000003</v>
      </c>
      <c r="H71" s="3" t="str">
        <f>VLOOKUP(Sales!E:E, Table2[#All], 3,FALSE)</f>
        <v>Clothing</v>
      </c>
      <c r="I71" s="3" t="str">
        <f>VLOOKUP(D:D,Table3[#All], 4, FALSE)</f>
        <v>United Kingdom</v>
      </c>
      <c r="J71" s="2">
        <f>VLOOKUP(D:D,Table3[#All], 5, FALSE)</f>
        <v>45062</v>
      </c>
      <c r="K71" s="2" t="str">
        <f>TEXT(Table1[[#This Row],[SIGNUPDATE]], "mmm, yy")</f>
        <v>May, 23</v>
      </c>
      <c r="L71" s="3" t="str">
        <f>IFERROR(VLOOKUP(D:D,Customer_info!A:A, 1, FALSE), "Not found")</f>
        <v>CUST059</v>
      </c>
      <c r="M71" s="3"/>
    </row>
    <row r="72" spans="1:13">
      <c r="A72" t="s">
        <v>157</v>
      </c>
      <c r="B72" s="2">
        <v>45394</v>
      </c>
      <c r="C72" s="1" t="str">
        <f t="shared" si="1"/>
        <v>Apr</v>
      </c>
      <c r="D72" t="s">
        <v>158</v>
      </c>
      <c r="E72" t="s">
        <v>159</v>
      </c>
      <c r="F72" s="4">
        <v>5</v>
      </c>
      <c r="G72" s="3">
        <v>217.9</v>
      </c>
      <c r="H72" s="3" t="str">
        <f>VLOOKUP(Sales!E:E, Table2[#All], 3,FALSE)</f>
        <v>Clothing</v>
      </c>
      <c r="I72" s="3" t="str">
        <f>VLOOKUP(D:D,Table3[#All], 4, FALSE)</f>
        <v>US</v>
      </c>
      <c r="J72" s="2">
        <f>VLOOKUP(D:D,Table3[#All], 5, FALSE)</f>
        <v>45255</v>
      </c>
      <c r="K72" s="2" t="str">
        <f>TEXT(Table1[[#This Row],[SIGNUPDATE]], "mmm, yy")</f>
        <v>Nov, 23</v>
      </c>
      <c r="L72" s="3" t="str">
        <f>IFERROR(VLOOKUP(D:D,Customer_info!A:A, 1, FALSE), "Not found")</f>
        <v>CUST079</v>
      </c>
      <c r="M72" s="3"/>
    </row>
    <row r="73" spans="1:13">
      <c r="A73" t="s">
        <v>160</v>
      </c>
      <c r="B73" s="2">
        <v>45376</v>
      </c>
      <c r="C73" s="1" t="str">
        <f t="shared" si="1"/>
        <v>Mar</v>
      </c>
      <c r="D73" t="s">
        <v>6</v>
      </c>
      <c r="E73" t="s">
        <v>27</v>
      </c>
      <c r="F73" s="4">
        <v>5</v>
      </c>
      <c r="G73" s="3">
        <v>2261</v>
      </c>
      <c r="H73" s="3" t="str">
        <f>VLOOKUP(Sales!E:E, Table2[#All], 3,FALSE)</f>
        <v>Beauty</v>
      </c>
      <c r="I73" s="3" t="str">
        <f>VLOOKUP(D:D,Table3[#All], 4, FALSE)</f>
        <v>Canada</v>
      </c>
      <c r="J73" s="2">
        <f>VLOOKUP(D:D,Table3[#All], 5, FALSE)</f>
        <v>45210</v>
      </c>
      <c r="K73" s="2" t="str">
        <f>TEXT(Table1[[#This Row],[SIGNUPDATE]], "mmm, yy")</f>
        <v>Oct, 23</v>
      </c>
      <c r="L73" s="3" t="str">
        <f>IFERROR(VLOOKUP(D:D,Customer_info!A:A, 1, FALSE), "Not found")</f>
        <v>CUST115</v>
      </c>
      <c r="M73" s="3"/>
    </row>
    <row r="74" spans="1:13">
      <c r="A74" t="s">
        <v>161</v>
      </c>
      <c r="B74" s="2">
        <v>45321</v>
      </c>
      <c r="C74" s="1" t="str">
        <f t="shared" si="1"/>
        <v>Jan</v>
      </c>
      <c r="D74" t="s">
        <v>127</v>
      </c>
      <c r="E74" t="s">
        <v>151</v>
      </c>
      <c r="F74" s="4">
        <v>1</v>
      </c>
      <c r="G74" s="3">
        <v>340.85</v>
      </c>
      <c r="H74" s="3" t="str">
        <f>VLOOKUP(Sales!E:E, Table2[#All], 3,FALSE)</f>
        <v>Electronics</v>
      </c>
      <c r="I74" s="3" t="str">
        <f>VLOOKUP(D:D,Table3[#All], 4, FALSE)</f>
        <v>Canada</v>
      </c>
      <c r="J74" s="2">
        <f>VLOOKUP(D:D,Table3[#All], 5, FALSE)</f>
        <v>44981</v>
      </c>
      <c r="K74" s="2" t="str">
        <f>TEXT(Table1[[#This Row],[SIGNUPDATE]], "mmm, yy")</f>
        <v>Feb, 23</v>
      </c>
      <c r="L74" s="3" t="str">
        <f>IFERROR(VLOOKUP(D:D,Customer_info!A:A, 1, FALSE), "Not found")</f>
        <v>CUST085</v>
      </c>
      <c r="M74" s="3"/>
    </row>
    <row r="75" spans="1:13">
      <c r="A75" t="s">
        <v>162</v>
      </c>
      <c r="B75" s="2">
        <v>45337</v>
      </c>
      <c r="C75" s="1" t="str">
        <f t="shared" si="1"/>
        <v>Feb</v>
      </c>
      <c r="D75" t="s">
        <v>12</v>
      </c>
      <c r="E75" t="s">
        <v>135</v>
      </c>
      <c r="F75" s="4">
        <v>3</v>
      </c>
      <c r="G75" s="3">
        <v>1293.6600000000001</v>
      </c>
      <c r="H75" s="3" t="str">
        <f>VLOOKUP(Sales!E:E, Table2[#All], 3,FALSE)</f>
        <v>Electronics</v>
      </c>
      <c r="I75" s="3" t="str">
        <f>VLOOKUP(D:D,Table3[#All], 4, FALSE)</f>
        <v>Canada</v>
      </c>
      <c r="J75" s="2">
        <f>VLOOKUP(D:D,Table3[#All], 5, FALSE)</f>
        <v>44927</v>
      </c>
      <c r="K75" s="2" t="str">
        <f>TEXT(Table1[[#This Row],[SIGNUPDATE]], "mmm, yy")</f>
        <v>Jan, 23</v>
      </c>
      <c r="L75" s="3" t="str">
        <f>IFERROR(VLOOKUP(D:D,Customer_info!A:A, 1, FALSE), "Not found")</f>
        <v>CUST091</v>
      </c>
      <c r="M75" s="3"/>
    </row>
    <row r="76" spans="1:13">
      <c r="A76" t="s">
        <v>163</v>
      </c>
      <c r="B76" s="2">
        <v>45359</v>
      </c>
      <c r="C76" s="1" t="str">
        <f t="shared" si="1"/>
        <v>Mar</v>
      </c>
      <c r="D76" t="s">
        <v>134</v>
      </c>
      <c r="E76" t="s">
        <v>164</v>
      </c>
      <c r="F76" s="4">
        <v>5</v>
      </c>
      <c r="G76" s="3">
        <v>1309.7</v>
      </c>
      <c r="H76" s="3" t="str">
        <f>VLOOKUP(Sales!E:E, Table2[#All], 3,FALSE)</f>
        <v>Electronics</v>
      </c>
      <c r="I76" s="3" t="str">
        <f>VLOOKUP(D:D,Table3[#All], 4, FALSE)</f>
        <v>India</v>
      </c>
      <c r="J76" s="2">
        <f>VLOOKUP(D:D,Table3[#All], 5, FALSE)</f>
        <v>45206</v>
      </c>
      <c r="K76" s="2" t="str">
        <f>TEXT(Table1[[#This Row],[SIGNUPDATE]], "mmm, yy")</f>
        <v>Oct, 23</v>
      </c>
      <c r="L76" s="3" t="str">
        <f>IFERROR(VLOOKUP(D:D,Customer_info!A:A, 1, FALSE), "Not found")</f>
        <v>CUST005</v>
      </c>
      <c r="M76" s="3"/>
    </row>
    <row r="77" spans="1:13">
      <c r="A77" t="s">
        <v>165</v>
      </c>
      <c r="B77" s="2">
        <v>45319</v>
      </c>
      <c r="C77" s="1" t="str">
        <f t="shared" si="1"/>
        <v>Jan</v>
      </c>
      <c r="D77" t="s">
        <v>166</v>
      </c>
      <c r="E77" t="s">
        <v>164</v>
      </c>
      <c r="F77" s="4">
        <v>1</v>
      </c>
      <c r="G77" s="3">
        <v>261.94</v>
      </c>
      <c r="H77" s="3" t="str">
        <f>VLOOKUP(Sales!E:E, Table2[#All], 3,FALSE)</f>
        <v>Electronics</v>
      </c>
      <c r="I77" s="3" t="str">
        <f>VLOOKUP(D:D,Table3[#All], 4, FALSE)</f>
        <v>United Kingdom</v>
      </c>
      <c r="J77" s="2">
        <f>VLOOKUP(D:D,Table3[#All], 5, FALSE)</f>
        <v>44959</v>
      </c>
      <c r="K77" s="2" t="str">
        <f>TEXT(Table1[[#This Row],[SIGNUPDATE]], "mmm, yy")</f>
        <v>Feb, 23</v>
      </c>
      <c r="L77" s="3" t="str">
        <f>IFERROR(VLOOKUP(D:D,Customer_info!A:A, 1, FALSE), "Not found")</f>
        <v>CUST113</v>
      </c>
      <c r="M77" s="3"/>
    </row>
    <row r="78" spans="1:13">
      <c r="A78" t="s">
        <v>167</v>
      </c>
      <c r="B78" s="2">
        <v>45403</v>
      </c>
      <c r="C78" s="1" t="str">
        <f t="shared" si="1"/>
        <v>Apr</v>
      </c>
      <c r="D78" t="s">
        <v>134</v>
      </c>
      <c r="E78" t="s">
        <v>113</v>
      </c>
      <c r="F78" s="4">
        <v>5</v>
      </c>
      <c r="G78" s="3">
        <v>1135.6500000000001</v>
      </c>
      <c r="H78" s="3" t="str">
        <f>VLOOKUP(Sales!E:E, Table2[#All], 3,FALSE)</f>
        <v>Electronics</v>
      </c>
      <c r="I78" s="3" t="str">
        <f>VLOOKUP(D:D,Table3[#All], 4, FALSE)</f>
        <v>India</v>
      </c>
      <c r="J78" s="2">
        <f>VLOOKUP(D:D,Table3[#All], 5, FALSE)</f>
        <v>45206</v>
      </c>
      <c r="K78" s="2" t="str">
        <f>TEXT(Table1[[#This Row],[SIGNUPDATE]], "mmm, yy")</f>
        <v>Oct, 23</v>
      </c>
      <c r="L78" s="3" t="str">
        <f>IFERROR(VLOOKUP(D:D,Customer_info!A:A, 1, FALSE), "Not found")</f>
        <v>CUST005</v>
      </c>
      <c r="M78" s="3"/>
    </row>
    <row r="79" spans="1:13">
      <c r="A79" t="s">
        <v>168</v>
      </c>
      <c r="B79" s="2">
        <v>45372</v>
      </c>
      <c r="C79" s="1" t="str">
        <f t="shared" si="1"/>
        <v>Mar</v>
      </c>
      <c r="D79" t="s">
        <v>169</v>
      </c>
      <c r="E79" t="s">
        <v>22</v>
      </c>
      <c r="F79" s="4">
        <v>3</v>
      </c>
      <c r="G79" s="3">
        <v>309.89999999999998</v>
      </c>
      <c r="H79" s="3" t="str">
        <f>VLOOKUP(Sales!E:E, Table2[#All], 3,FALSE)</f>
        <v>Beauty</v>
      </c>
      <c r="I79" s="3" t="str">
        <f>VLOOKUP(D:D,Table3[#All], 4, FALSE)</f>
        <v>United Kingdom</v>
      </c>
      <c r="J79" s="2">
        <f>VLOOKUP(D:D,Table3[#All], 5, FALSE)</f>
        <v>45041</v>
      </c>
      <c r="K79" s="2" t="str">
        <f>TEXT(Table1[[#This Row],[SIGNUPDATE]], "mmm, yy")</f>
        <v>Apr, 23</v>
      </c>
      <c r="L79" s="3" t="str">
        <f>IFERROR(VLOOKUP(D:D,Customer_info!A:A, 1, FALSE), "Not found")</f>
        <v>CUST003</v>
      </c>
      <c r="M79" s="3"/>
    </row>
    <row r="80" spans="1:13">
      <c r="A80" t="s">
        <v>170</v>
      </c>
      <c r="B80" s="2">
        <v>45447</v>
      </c>
      <c r="C80" s="1" t="str">
        <f t="shared" si="1"/>
        <v>Jun</v>
      </c>
      <c r="D80" t="s">
        <v>171</v>
      </c>
      <c r="E80" t="s">
        <v>80</v>
      </c>
      <c r="F80" s="4">
        <v>4</v>
      </c>
      <c r="G80" s="3">
        <v>1733.12</v>
      </c>
      <c r="H80" s="3" t="str">
        <f>VLOOKUP(Sales!E:E, Table2[#All], 3,FALSE)</f>
        <v>Beauty</v>
      </c>
      <c r="I80" s="3" t="str">
        <f>VLOOKUP(D:D,Table3[#All], 4, FALSE)</f>
        <v>Canada</v>
      </c>
      <c r="J80" s="2">
        <f>VLOOKUP(D:D,Table3[#All], 5, FALSE)</f>
        <v>45158</v>
      </c>
      <c r="K80" s="2" t="str">
        <f>TEXT(Table1[[#This Row],[SIGNUPDATE]], "mmm, yy")</f>
        <v>Aug, 23</v>
      </c>
      <c r="L80" s="3" t="str">
        <f>IFERROR(VLOOKUP(D:D,Customer_info!A:A, 1, FALSE), "Not found")</f>
        <v>CUST111</v>
      </c>
      <c r="M80" s="3"/>
    </row>
    <row r="81" spans="1:13">
      <c r="A81" t="s">
        <v>172</v>
      </c>
      <c r="B81" s="2">
        <v>45321</v>
      </c>
      <c r="C81" s="1" t="str">
        <f t="shared" si="1"/>
        <v>Jan</v>
      </c>
      <c r="D81" t="s">
        <v>173</v>
      </c>
      <c r="E81" t="s">
        <v>145</v>
      </c>
      <c r="F81" s="4">
        <v>5</v>
      </c>
      <c r="G81" s="3">
        <v>1664.5</v>
      </c>
      <c r="H81" s="3" t="str">
        <f>VLOOKUP(Sales!E:E, Table2[#All], 3,FALSE)</f>
        <v>Electronics</v>
      </c>
      <c r="I81" s="3" t="str">
        <f>VLOOKUP(D:D,Table3[#All], 4, FALSE)</f>
        <v>Canada</v>
      </c>
      <c r="J81" s="2">
        <f>VLOOKUP(D:D,Table3[#All], 5, FALSE)</f>
        <v>45061</v>
      </c>
      <c r="K81" s="2" t="str">
        <f>TEXT(Table1[[#This Row],[SIGNUPDATE]], "mmm, yy")</f>
        <v>May, 23</v>
      </c>
      <c r="L81" s="3" t="str">
        <f>IFERROR(VLOOKUP(D:D,Customer_info!A:A, 1, FALSE), "Not found")</f>
        <v>CUST062</v>
      </c>
      <c r="M81" s="3"/>
    </row>
    <row r="82" spans="1:13">
      <c r="A82" t="s">
        <v>174</v>
      </c>
      <c r="B82" s="2">
        <v>45439</v>
      </c>
      <c r="C82" s="1" t="str">
        <f t="shared" si="1"/>
        <v>May</v>
      </c>
      <c r="D82" t="s">
        <v>175</v>
      </c>
      <c r="E82" t="s">
        <v>62</v>
      </c>
      <c r="F82" s="4">
        <v>4</v>
      </c>
      <c r="G82" s="3">
        <v>231.92</v>
      </c>
      <c r="H82" s="3" t="str">
        <f>VLOOKUP(Sales!E:E, Table2[#All], 3,FALSE)</f>
        <v>Sports</v>
      </c>
      <c r="I82" s="3" t="str">
        <f>VLOOKUP(D:D,Table3[#All], 4, FALSE)</f>
        <v>United Kingdom</v>
      </c>
      <c r="J82" s="2">
        <f>VLOOKUP(D:D,Table3[#All], 5, FALSE)</f>
        <v>44978</v>
      </c>
      <c r="K82" s="2" t="str">
        <f>TEXT(Table1[[#This Row],[SIGNUPDATE]], "mmm, yy")</f>
        <v>Feb, 23</v>
      </c>
      <c r="L82" s="3" t="str">
        <f>IFERROR(VLOOKUP(D:D,Customer_info!A:A, 1, FALSE), "Not found")</f>
        <v>CUST035</v>
      </c>
      <c r="M82" s="3"/>
    </row>
    <row r="83" spans="1:13">
      <c r="A83" t="s">
        <v>176</v>
      </c>
      <c r="B83" s="2">
        <v>45357</v>
      </c>
      <c r="C83" s="1" t="str">
        <f t="shared" si="1"/>
        <v>Mar</v>
      </c>
      <c r="D83" t="s">
        <v>47</v>
      </c>
      <c r="E83" t="s">
        <v>177</v>
      </c>
      <c r="F83" s="4">
        <v>2</v>
      </c>
      <c r="G83" s="3">
        <v>435.1</v>
      </c>
      <c r="H83" s="3" t="str">
        <f>VLOOKUP(Sales!E:E, Table2[#All], 3,FALSE)</f>
        <v>Home</v>
      </c>
      <c r="I83" s="3" t="str">
        <f>VLOOKUP(D:D,Table3[#All], 4, FALSE)</f>
        <v>Canada</v>
      </c>
      <c r="J83" s="2">
        <f>VLOOKUP(D:D,Table3[#All], 5, FALSE)</f>
        <v>45039</v>
      </c>
      <c r="K83" s="2" t="str">
        <f>TEXT(Table1[[#This Row],[SIGNUPDATE]], "mmm, yy")</f>
        <v>Apr, 23</v>
      </c>
      <c r="L83" s="3" t="str">
        <f>IFERROR(VLOOKUP(D:D,Customer_info!A:A, 1, FALSE), "Not found")</f>
        <v>CUST049</v>
      </c>
      <c r="M83" s="3"/>
    </row>
    <row r="84" spans="1:13">
      <c r="A84" t="s">
        <v>178</v>
      </c>
      <c r="B84" s="2">
        <v>45403</v>
      </c>
      <c r="C84" s="1" t="str">
        <f t="shared" si="1"/>
        <v>Apr</v>
      </c>
      <c r="D84" t="s">
        <v>179</v>
      </c>
      <c r="E84" t="s">
        <v>71</v>
      </c>
      <c r="F84" s="4">
        <v>1</v>
      </c>
      <c r="G84" s="3">
        <v>216.72</v>
      </c>
      <c r="H84" s="3" t="str">
        <f>VLOOKUP(Sales!E:E, Table2[#All], 3,FALSE)</f>
        <v>Clothing</v>
      </c>
      <c r="I84" s="3" t="str">
        <f>VLOOKUP(D:D,Table3[#All], 4, FALSE)</f>
        <v>United Kingdom</v>
      </c>
      <c r="J84" s="2">
        <f>VLOOKUP(D:D,Table3[#All], 5, FALSE)</f>
        <v>45292</v>
      </c>
      <c r="K84" s="2" t="str">
        <f>TEXT(Table1[[#This Row],[SIGNUPDATE]], "mmm, yy")</f>
        <v>Jan, 24</v>
      </c>
      <c r="L84" s="3" t="str">
        <f>IFERROR(VLOOKUP(D:D,Customer_info!A:A, 1, FALSE), "Not found")</f>
        <v>CUST107</v>
      </c>
      <c r="M84" s="3"/>
    </row>
    <row r="85" spans="1:13">
      <c r="A85" t="s">
        <v>180</v>
      </c>
      <c r="B85" s="2">
        <v>45425</v>
      </c>
      <c r="C85" s="1" t="str">
        <f t="shared" si="1"/>
        <v>May</v>
      </c>
      <c r="D85" t="s">
        <v>181</v>
      </c>
      <c r="E85" t="s">
        <v>135</v>
      </c>
      <c r="F85" s="4">
        <v>1</v>
      </c>
      <c r="G85" s="3">
        <v>431.22</v>
      </c>
      <c r="H85" s="3" t="str">
        <f>VLOOKUP(Sales!E:E, Table2[#All], 3,FALSE)</f>
        <v>Electronics</v>
      </c>
      <c r="I85" s="3" t="str">
        <f>VLOOKUP(D:D,Table3[#All], 4, FALSE)</f>
        <v>Canada</v>
      </c>
      <c r="J85" s="2">
        <f>VLOOKUP(D:D,Table3[#All], 5, FALSE)</f>
        <v>45028</v>
      </c>
      <c r="K85" s="2" t="str">
        <f>TEXT(Table1[[#This Row],[SIGNUPDATE]], "mmm, yy")</f>
        <v>Apr, 23</v>
      </c>
      <c r="L85" s="3" t="str">
        <f>IFERROR(VLOOKUP(D:D,Customer_info!A:A, 1, FALSE), "Not found")</f>
        <v>CUST088</v>
      </c>
      <c r="M85" s="3"/>
    </row>
    <row r="86" spans="1:13">
      <c r="A86" t="s">
        <v>182</v>
      </c>
      <c r="B86" s="2">
        <v>45467</v>
      </c>
      <c r="C86" s="1" t="str">
        <f t="shared" si="1"/>
        <v>Jun</v>
      </c>
      <c r="D86" t="s">
        <v>56</v>
      </c>
      <c r="E86" t="s">
        <v>135</v>
      </c>
      <c r="F86" s="4">
        <v>5</v>
      </c>
      <c r="G86" s="3">
        <v>2156.1</v>
      </c>
      <c r="H86" s="3" t="str">
        <f>VLOOKUP(Sales!E:E, Table2[#All], 3,FALSE)</f>
        <v>Electronics</v>
      </c>
      <c r="I86" s="3" t="str">
        <f>VLOOKUP(D:D,Table3[#All], 4, FALSE)</f>
        <v>UK</v>
      </c>
      <c r="J86" s="2">
        <f>VLOOKUP(D:D,Table3[#All], 5, FALSE)</f>
        <v>45061</v>
      </c>
      <c r="K86" s="2" t="str">
        <f>TEXT(Table1[[#This Row],[SIGNUPDATE]], "mmm, yy")</f>
        <v>May, 23</v>
      </c>
      <c r="L86" s="3" t="str">
        <f>IFERROR(VLOOKUP(D:D,Customer_info!A:A, 1, FALSE), "Not found")</f>
        <v>CUST083</v>
      </c>
      <c r="M86" s="3"/>
    </row>
    <row r="87" spans="1:13">
      <c r="A87" t="s">
        <v>183</v>
      </c>
      <c r="B87" s="2">
        <v>45385</v>
      </c>
      <c r="C87" s="1" t="str">
        <f t="shared" si="1"/>
        <v>Apr</v>
      </c>
      <c r="D87" t="s">
        <v>184</v>
      </c>
      <c r="E87" t="s">
        <v>97</v>
      </c>
      <c r="F87" s="4">
        <v>2</v>
      </c>
      <c r="G87" s="3">
        <v>263.68</v>
      </c>
      <c r="H87" s="3" t="str">
        <f>VLOOKUP(Sales!E:E, Table2[#All], 3,FALSE)</f>
        <v>Electronics</v>
      </c>
      <c r="I87" s="3" t="str">
        <f>VLOOKUP(D:D,Table3[#All], 4, FALSE)</f>
        <v>India</v>
      </c>
      <c r="J87" s="2">
        <f>VLOOKUP(D:D,Table3[#All], 5, FALSE)</f>
        <v>45186</v>
      </c>
      <c r="K87" s="2" t="str">
        <f>TEXT(Table1[[#This Row],[SIGNUPDATE]], "mmm, yy")</f>
        <v>Sep, 23</v>
      </c>
      <c r="L87" s="3" t="str">
        <f>IFERROR(VLOOKUP(D:D,Customer_info!A:A, 1, FALSE), "Not found")</f>
        <v>CUST087</v>
      </c>
      <c r="M87" s="3"/>
    </row>
    <row r="88" spans="1:13">
      <c r="A88" t="s">
        <v>185</v>
      </c>
      <c r="B88" s="2">
        <v>45309</v>
      </c>
      <c r="C88" s="1" t="str">
        <f t="shared" si="1"/>
        <v>Jan</v>
      </c>
      <c r="D88" t="s">
        <v>15</v>
      </c>
      <c r="E88" t="s">
        <v>151</v>
      </c>
      <c r="F88" s="4">
        <v>4</v>
      </c>
      <c r="G88" s="3">
        <v>1363.4</v>
      </c>
      <c r="H88" s="3" t="str">
        <f>VLOOKUP(Sales!E:E, Table2[#All], 3,FALSE)</f>
        <v>Electronics</v>
      </c>
      <c r="I88" s="3" t="str">
        <f>VLOOKUP(D:D,Table3[#All], 4, FALSE)</f>
        <v>Canada</v>
      </c>
      <c r="J88" s="2">
        <f>VLOOKUP(D:D,Table3[#All], 5, FALSE)</f>
        <v>44967</v>
      </c>
      <c r="K88" s="2" t="str">
        <f>TEXT(Table1[[#This Row],[SIGNUPDATE]], "mmm, yy")</f>
        <v>Feb, 23</v>
      </c>
      <c r="L88" s="3" t="str">
        <f>IFERROR(VLOOKUP(D:D,Customer_info!A:A, 1, FALSE), "Not found")</f>
        <v>CUST097</v>
      </c>
      <c r="M88" s="3"/>
    </row>
    <row r="89" spans="1:13">
      <c r="A89" t="s">
        <v>186</v>
      </c>
      <c r="B89" s="2">
        <v>45451</v>
      </c>
      <c r="C89" s="1" t="str">
        <f t="shared" si="1"/>
        <v>Jun</v>
      </c>
      <c r="D89" t="s">
        <v>187</v>
      </c>
      <c r="E89" t="s">
        <v>80</v>
      </c>
      <c r="F89" s="4">
        <v>3</v>
      </c>
      <c r="G89" s="3">
        <v>1299.8399999999999</v>
      </c>
      <c r="H89" s="3" t="str">
        <f>VLOOKUP(Sales!E:E, Table2[#All], 3,FALSE)</f>
        <v>Beauty</v>
      </c>
      <c r="I89" s="3" t="str">
        <f>VLOOKUP(D:D,Table3[#All], 4, FALSE)</f>
        <v>UK</v>
      </c>
      <c r="J89" s="2">
        <f>VLOOKUP(D:D,Table3[#All], 5, FALSE)</f>
        <v>45112</v>
      </c>
      <c r="K89" s="2" t="str">
        <f>TEXT(Table1[[#This Row],[SIGNUPDATE]], "mmm, yy")</f>
        <v>Jul, 23</v>
      </c>
      <c r="L89" s="3" t="str">
        <f>IFERROR(VLOOKUP(D:D,Customer_info!A:A, 1, FALSE), "Not found")</f>
        <v>CUST094</v>
      </c>
      <c r="M89" s="3"/>
    </row>
    <row r="90" spans="1:13">
      <c r="A90" t="s">
        <v>188</v>
      </c>
      <c r="B90" s="2">
        <v>45461</v>
      </c>
      <c r="C90" s="1" t="str">
        <f t="shared" si="1"/>
        <v>Jun</v>
      </c>
      <c r="D90" t="s">
        <v>45</v>
      </c>
      <c r="E90" t="s">
        <v>71</v>
      </c>
      <c r="F90" s="4">
        <v>3</v>
      </c>
      <c r="G90" s="3">
        <v>650.16</v>
      </c>
      <c r="H90" s="3" t="str">
        <f>VLOOKUP(Sales!E:E, Table2[#All], 3,FALSE)</f>
        <v>Clothing</v>
      </c>
      <c r="I90" s="3" t="str">
        <f>VLOOKUP(D:D,Table3[#All], 4, FALSE)</f>
        <v>UK</v>
      </c>
      <c r="J90" s="2">
        <f>VLOOKUP(D:D,Table3[#All], 5, FALSE)</f>
        <v>45238</v>
      </c>
      <c r="K90" s="2" t="str">
        <f>TEXT(Table1[[#This Row],[SIGNUPDATE]], "mmm, yy")</f>
        <v>Nov, 23</v>
      </c>
      <c r="L90" s="3" t="str">
        <f>IFERROR(VLOOKUP(D:D,Customer_info!A:A, 1, FALSE), "Not found")</f>
        <v>CUST043</v>
      </c>
      <c r="M90" s="3"/>
    </row>
    <row r="91" spans="1:13">
      <c r="A91" t="s">
        <v>189</v>
      </c>
      <c r="B91" s="2">
        <v>45368</v>
      </c>
      <c r="C91" s="1" t="str">
        <f t="shared" si="1"/>
        <v>Mar</v>
      </c>
      <c r="D91" t="s">
        <v>21</v>
      </c>
      <c r="E91" t="s">
        <v>22</v>
      </c>
      <c r="F91" s="4">
        <v>1</v>
      </c>
      <c r="G91" s="3">
        <v>103.3</v>
      </c>
      <c r="H91" s="3" t="str">
        <f>VLOOKUP(Sales!E:E, Table2[#All], 3,FALSE)</f>
        <v>Beauty</v>
      </c>
      <c r="I91" s="3" t="str">
        <f>VLOOKUP(D:D,Table3[#All], 4, FALSE)</f>
        <v>US</v>
      </c>
      <c r="J91" s="2">
        <f>VLOOKUP(D:D,Table3[#All], 5, FALSE)</f>
        <v>45010</v>
      </c>
      <c r="K91" s="2" t="str">
        <f>TEXT(Table1[[#This Row],[SIGNUPDATE]], "mmm, yy")</f>
        <v>Mar, 23</v>
      </c>
      <c r="L91" s="3" t="str">
        <f>IFERROR(VLOOKUP(D:D,Customer_info!A:A, 1, FALSE), "Not found")</f>
        <v>CUST038</v>
      </c>
      <c r="M91" s="3"/>
    </row>
    <row r="92" spans="1:13">
      <c r="A92" t="s">
        <v>190</v>
      </c>
      <c r="B92" s="2">
        <v>45371</v>
      </c>
      <c r="C92" s="1" t="str">
        <f t="shared" si="1"/>
        <v>Mar</v>
      </c>
      <c r="D92" t="s">
        <v>61</v>
      </c>
      <c r="E92" t="s">
        <v>123</v>
      </c>
      <c r="F92" s="4">
        <v>5</v>
      </c>
      <c r="G92" s="3">
        <v>198.5</v>
      </c>
      <c r="H92" s="3" t="str">
        <f>VLOOKUP(Sales!E:E, Table2[#All], 3,FALSE)</f>
        <v>Electronics</v>
      </c>
      <c r="I92" s="3" t="str">
        <f>VLOOKUP(D:D,Table3[#All], 4, FALSE)</f>
        <v>Canada</v>
      </c>
      <c r="J92" s="2">
        <f>VLOOKUP(D:D,Table3[#All], 5, FALSE)</f>
        <v>45011</v>
      </c>
      <c r="K92" s="2" t="str">
        <f>TEXT(Table1[[#This Row],[SIGNUPDATE]], "mmm, yy")</f>
        <v>Mar, 23</v>
      </c>
      <c r="L92" s="3" t="str">
        <f>IFERROR(VLOOKUP(D:D,Customer_info!A:A, 1, FALSE), "Not found")</f>
        <v>CUST102</v>
      </c>
      <c r="M92" s="3"/>
    </row>
    <row r="93" spans="1:13">
      <c r="A93" t="s">
        <v>191</v>
      </c>
      <c r="B93" s="2">
        <v>45375</v>
      </c>
      <c r="C93" s="1" t="str">
        <f t="shared" si="1"/>
        <v>Mar</v>
      </c>
      <c r="D93" t="s">
        <v>64</v>
      </c>
      <c r="E93" t="s">
        <v>34</v>
      </c>
      <c r="F93" s="4">
        <v>4</v>
      </c>
      <c r="G93" s="3">
        <v>1169.3599999999999</v>
      </c>
      <c r="H93" s="3" t="str">
        <f>VLOOKUP(Sales!E:E, Table2[#All], 3,FALSE)</f>
        <v>Sports</v>
      </c>
      <c r="I93" s="3" t="str">
        <f>VLOOKUP(D:D,Table3[#All], 4, FALSE)</f>
        <v>India</v>
      </c>
      <c r="J93" s="2">
        <f>VLOOKUP(D:D,Table3[#All], 5, FALSE)</f>
        <v>45214</v>
      </c>
      <c r="K93" s="2" t="str">
        <f>TEXT(Table1[[#This Row],[SIGNUPDATE]], "mmm, yy")</f>
        <v>Oct, 23</v>
      </c>
      <c r="L93" s="3" t="str">
        <f>IFERROR(VLOOKUP(D:D,Customer_info!A:A, 1, FALSE), "Not found")</f>
        <v>CUST061</v>
      </c>
      <c r="M93" s="3"/>
    </row>
    <row r="94" spans="1:13">
      <c r="A94" t="s">
        <v>192</v>
      </c>
      <c r="B94" s="2">
        <v>45470</v>
      </c>
      <c r="C94" s="1" t="str">
        <f t="shared" si="1"/>
        <v>Jun</v>
      </c>
      <c r="D94" t="s">
        <v>61</v>
      </c>
      <c r="E94" t="s">
        <v>97</v>
      </c>
      <c r="F94" s="4">
        <v>4</v>
      </c>
      <c r="G94" s="3">
        <v>527.36</v>
      </c>
      <c r="H94" s="3" t="str">
        <f>VLOOKUP(Sales!E:E, Table2[#All], 3,FALSE)</f>
        <v>Electronics</v>
      </c>
      <c r="I94" s="3" t="str">
        <f>VLOOKUP(D:D,Table3[#All], 4, FALSE)</f>
        <v>Canada</v>
      </c>
      <c r="J94" s="2">
        <f>VLOOKUP(D:D,Table3[#All], 5, FALSE)</f>
        <v>45011</v>
      </c>
      <c r="K94" s="2" t="str">
        <f>TEXT(Table1[[#This Row],[SIGNUPDATE]], "mmm, yy")</f>
        <v>Mar, 23</v>
      </c>
      <c r="L94" s="3" t="str">
        <f>IFERROR(VLOOKUP(D:D,Customer_info!A:A, 1, FALSE), "Not found")</f>
        <v>CUST102</v>
      </c>
      <c r="M94" s="3"/>
    </row>
    <row r="95" spans="1:13">
      <c r="A95" t="s">
        <v>193</v>
      </c>
      <c r="B95" s="2">
        <v>45433</v>
      </c>
      <c r="C95" s="1" t="str">
        <f t="shared" si="1"/>
        <v>May</v>
      </c>
      <c r="D95" t="s">
        <v>194</v>
      </c>
      <c r="E95" t="s">
        <v>195</v>
      </c>
      <c r="F95" s="4">
        <v>3</v>
      </c>
      <c r="G95" s="3">
        <v>737.61</v>
      </c>
      <c r="H95" s="3" t="str">
        <f>VLOOKUP(Sales!E:E, Table2[#All], 3,FALSE)</f>
        <v>Beauty</v>
      </c>
      <c r="I95" s="3" t="str">
        <f>VLOOKUP(D:D,Table3[#All], 4, FALSE)</f>
        <v>UK</v>
      </c>
      <c r="J95" s="2">
        <f>VLOOKUP(D:D,Table3[#All], 5, FALSE)</f>
        <v>44950</v>
      </c>
      <c r="K95" s="2" t="str">
        <f>TEXT(Table1[[#This Row],[SIGNUPDATE]], "mmm, yy")</f>
        <v>Jan, 23</v>
      </c>
      <c r="L95" s="3" t="str">
        <f>IFERROR(VLOOKUP(D:D,Customer_info!A:A, 1, FALSE), "Not found")</f>
        <v>CUST032</v>
      </c>
      <c r="M95" s="3"/>
    </row>
    <row r="96" spans="1:13">
      <c r="A96" t="s">
        <v>196</v>
      </c>
      <c r="B96" s="2">
        <v>45341</v>
      </c>
      <c r="C96" s="1" t="str">
        <f t="shared" si="1"/>
        <v>Feb</v>
      </c>
      <c r="D96" t="s">
        <v>197</v>
      </c>
      <c r="E96" t="s">
        <v>80</v>
      </c>
      <c r="F96" s="4">
        <v>2</v>
      </c>
      <c r="G96" s="3">
        <v>866.56</v>
      </c>
      <c r="H96" s="3" t="str">
        <f>VLOOKUP(Sales!E:E, Table2[#All], 3,FALSE)</f>
        <v>Beauty</v>
      </c>
      <c r="I96" s="3" t="str">
        <f>VLOOKUP(D:D,Table3[#All], 4, FALSE)</f>
        <v>UK</v>
      </c>
      <c r="J96" s="2">
        <f>VLOOKUP(D:D,Table3[#All], 5, FALSE)</f>
        <v>45005</v>
      </c>
      <c r="K96" s="2" t="str">
        <f>TEXT(Table1[[#This Row],[SIGNUPDATE]], "mmm, yy")</f>
        <v>Mar, 23</v>
      </c>
      <c r="L96" s="3" t="str">
        <f>IFERROR(VLOOKUP(D:D,Customer_info!A:A, 1, FALSE), "Not found")</f>
        <v>CUST069</v>
      </c>
      <c r="M96" s="3"/>
    </row>
    <row r="97" spans="1:13">
      <c r="A97" t="s">
        <v>198</v>
      </c>
      <c r="B97" s="2">
        <v>45462</v>
      </c>
      <c r="C97" s="1" t="str">
        <f t="shared" si="1"/>
        <v>Jun</v>
      </c>
      <c r="D97" t="s">
        <v>179</v>
      </c>
      <c r="E97" t="s">
        <v>195</v>
      </c>
      <c r="F97" s="4">
        <v>4</v>
      </c>
      <c r="G97" s="3">
        <v>983.48</v>
      </c>
      <c r="H97" s="3" t="str">
        <f>VLOOKUP(Sales!E:E, Table2[#All], 3,FALSE)</f>
        <v>Beauty</v>
      </c>
      <c r="I97" s="3" t="str">
        <f>VLOOKUP(D:D,Table3[#All], 4, FALSE)</f>
        <v>United Kingdom</v>
      </c>
      <c r="J97" s="2">
        <f>VLOOKUP(D:D,Table3[#All], 5, FALSE)</f>
        <v>45292</v>
      </c>
      <c r="K97" s="2" t="str">
        <f>TEXT(Table1[[#This Row],[SIGNUPDATE]], "mmm, yy")</f>
        <v>Jan, 24</v>
      </c>
      <c r="L97" s="3" t="str">
        <f>IFERROR(VLOOKUP(D:D,Customer_info!A:A, 1, FALSE), "Not found")</f>
        <v>CUST107</v>
      </c>
      <c r="M97" s="3"/>
    </row>
    <row r="98" spans="1:13">
      <c r="A98" t="s">
        <v>199</v>
      </c>
      <c r="B98" s="2">
        <v>45465</v>
      </c>
      <c r="C98" s="1" t="str">
        <f t="shared" si="1"/>
        <v>Jun</v>
      </c>
      <c r="D98" t="s">
        <v>110</v>
      </c>
      <c r="E98" t="s">
        <v>107</v>
      </c>
      <c r="F98" s="4">
        <v>4</v>
      </c>
      <c r="G98" s="3">
        <v>197</v>
      </c>
      <c r="H98" s="3" t="str">
        <f>VLOOKUP(Sales!E:E, Table2[#All], 3,FALSE)</f>
        <v>Sports</v>
      </c>
      <c r="I98" s="3" t="str">
        <f>VLOOKUP(D:D,Table3[#All], 4, FALSE)</f>
        <v>United Kingdom</v>
      </c>
      <c r="J98" s="2">
        <f>VLOOKUP(D:D,Table3[#All], 5, FALSE)</f>
        <v>45062</v>
      </c>
      <c r="K98" s="2" t="str">
        <f>TEXT(Table1[[#This Row],[SIGNUPDATE]], "mmm, yy")</f>
        <v>May, 23</v>
      </c>
      <c r="L98" s="3" t="str">
        <f>IFERROR(VLOOKUP(D:D,Customer_info!A:A, 1, FALSE), "Not found")</f>
        <v>CUST059</v>
      </c>
      <c r="M98" s="3"/>
    </row>
    <row r="99" spans="1:13">
      <c r="A99" t="s">
        <v>200</v>
      </c>
      <c r="B99" s="2">
        <v>45449</v>
      </c>
      <c r="C99" s="1" t="str">
        <f t="shared" si="1"/>
        <v>Jun</v>
      </c>
      <c r="D99" t="s">
        <v>201</v>
      </c>
      <c r="E99" t="s">
        <v>48</v>
      </c>
      <c r="F99" s="4">
        <v>2</v>
      </c>
      <c r="G99" s="3">
        <v>587.6</v>
      </c>
      <c r="H99" s="3" t="str">
        <f>VLOOKUP(Sales!E:E, Table2[#All], 3,FALSE)</f>
        <v>Electronics</v>
      </c>
      <c r="I99" s="3" t="str">
        <f>VLOOKUP(D:D,Table3[#All], 4, FALSE)</f>
        <v>India</v>
      </c>
      <c r="J99" s="2">
        <f>VLOOKUP(D:D,Table3[#All], 5, FALSE)</f>
        <v>45279</v>
      </c>
      <c r="K99" s="2" t="str">
        <f>TEXT(Table1[[#This Row],[SIGNUPDATE]], "mmm, yy")</f>
        <v>Dec, 23</v>
      </c>
      <c r="L99" s="3" t="str">
        <f>IFERROR(VLOOKUP(D:D,Customer_info!A:A, 1, FALSE), "Not found")</f>
        <v>CUST048</v>
      </c>
      <c r="M99" s="3"/>
    </row>
    <row r="100" spans="1:13">
      <c r="A100" t="s">
        <v>202</v>
      </c>
      <c r="B100" s="2">
        <v>45369</v>
      </c>
      <c r="C100" s="1" t="str">
        <f t="shared" si="1"/>
        <v>Mar</v>
      </c>
      <c r="D100" t="s">
        <v>134</v>
      </c>
      <c r="E100" t="s">
        <v>145</v>
      </c>
      <c r="F100" s="4">
        <v>5</v>
      </c>
      <c r="G100" s="3">
        <v>1664.5</v>
      </c>
      <c r="H100" s="3" t="str">
        <f>VLOOKUP(Sales!E:E, Table2[#All], 3,FALSE)</f>
        <v>Electronics</v>
      </c>
      <c r="I100" s="3" t="str">
        <f>VLOOKUP(D:D,Table3[#All], 4, FALSE)</f>
        <v>India</v>
      </c>
      <c r="J100" s="2">
        <f>VLOOKUP(D:D,Table3[#All], 5, FALSE)</f>
        <v>45206</v>
      </c>
      <c r="K100" s="2" t="str">
        <f>TEXT(Table1[[#This Row],[SIGNUPDATE]], "mmm, yy")</f>
        <v>Oct, 23</v>
      </c>
      <c r="L100" s="3" t="str">
        <f>IFERROR(VLOOKUP(D:D,Customer_info!A:A, 1, FALSE), "Not found")</f>
        <v>CUST005</v>
      </c>
      <c r="M100" s="3"/>
    </row>
    <row r="101" spans="1:13">
      <c r="A101" t="s">
        <v>203</v>
      </c>
      <c r="B101" s="2">
        <v>45432</v>
      </c>
      <c r="C101" s="1" t="str">
        <f t="shared" si="1"/>
        <v>May</v>
      </c>
      <c r="D101" t="s">
        <v>82</v>
      </c>
      <c r="E101" t="s">
        <v>128</v>
      </c>
      <c r="F101" s="4">
        <v>4</v>
      </c>
      <c r="G101" s="3">
        <v>466.68</v>
      </c>
      <c r="H101" s="3" t="str">
        <f>VLOOKUP(Sales!E:E, Table2[#All], 3,FALSE)</f>
        <v>Home</v>
      </c>
      <c r="I101" s="3" t="str">
        <f>VLOOKUP(D:D,Table3[#All], 4, FALSE)</f>
        <v>United Kingdom</v>
      </c>
      <c r="J101" s="2">
        <f>VLOOKUP(D:D,Table3[#All], 5, FALSE)</f>
        <v>45159</v>
      </c>
      <c r="K101" s="2" t="str">
        <f>TEXT(Table1[[#This Row],[SIGNUPDATE]], "mmm, yy")</f>
        <v>Aug, 23</v>
      </c>
      <c r="L101" s="3" t="str">
        <f>IFERROR(VLOOKUP(D:D,Customer_info!A:A, 1, FALSE), "Not found")</f>
        <v>CUST082</v>
      </c>
      <c r="M101" s="3"/>
    </row>
    <row r="102" spans="1:13">
      <c r="A102" t="s">
        <v>204</v>
      </c>
      <c r="B102" s="2">
        <v>45369</v>
      </c>
      <c r="C102" s="1" t="str">
        <f t="shared" si="1"/>
        <v>Mar</v>
      </c>
      <c r="D102" t="s">
        <v>205</v>
      </c>
      <c r="E102" t="s">
        <v>48</v>
      </c>
      <c r="F102" s="4">
        <v>1</v>
      </c>
      <c r="G102" s="3">
        <v>293.8</v>
      </c>
      <c r="H102" s="3" t="str">
        <f>VLOOKUP(Sales!E:E, Table2[#All], 3,FALSE)</f>
        <v>Electronics</v>
      </c>
      <c r="I102" s="3" t="str">
        <f>VLOOKUP(D:D,Table3[#All], 4, FALSE)</f>
        <v>Canada</v>
      </c>
      <c r="J102" s="2">
        <f>VLOOKUP(D:D,Table3[#All], 5, FALSE)</f>
        <v>45235</v>
      </c>
      <c r="K102" s="2" t="str">
        <f>TEXT(Table1[[#This Row],[SIGNUPDATE]], "mmm, yy")</f>
        <v>Nov, 23</v>
      </c>
      <c r="L102" s="3" t="str">
        <f>IFERROR(VLOOKUP(D:D,Customer_info!A:A, 1, FALSE), "Not found")</f>
        <v>CUST010</v>
      </c>
      <c r="M102" s="3"/>
    </row>
    <row r="103" spans="1:13">
      <c r="A103" t="s">
        <v>206</v>
      </c>
      <c r="B103" s="2">
        <v>45345</v>
      </c>
      <c r="C103" s="1" t="str">
        <f t="shared" si="1"/>
        <v>Feb</v>
      </c>
      <c r="D103" t="s">
        <v>96</v>
      </c>
      <c r="E103" t="s">
        <v>7</v>
      </c>
      <c r="F103" s="4">
        <v>3</v>
      </c>
      <c r="G103" s="3">
        <v>1258.95</v>
      </c>
      <c r="H103" s="3" t="str">
        <f>VLOOKUP(Sales!E:E, Table2[#All], 3,FALSE)</f>
        <v>Sports</v>
      </c>
      <c r="I103" s="3" t="str">
        <f>VLOOKUP(D:D,Table3[#All], 4, FALSE)</f>
        <v>United States</v>
      </c>
      <c r="J103" s="2">
        <f>VLOOKUP(D:D,Table3[#All], 5, FALSE)</f>
        <v>45039</v>
      </c>
      <c r="K103" s="2" t="str">
        <f>TEXT(Table1[[#This Row],[SIGNUPDATE]], "mmm, yy")</f>
        <v>Apr, 23</v>
      </c>
      <c r="L103" s="3" t="str">
        <f>IFERROR(VLOOKUP(D:D,Customer_info!A:A, 1, FALSE), "Not found")</f>
        <v>CUST014</v>
      </c>
      <c r="M103" s="3"/>
    </row>
    <row r="104" spans="1:13">
      <c r="A104" t="s">
        <v>207</v>
      </c>
      <c r="B104" s="2">
        <v>45440</v>
      </c>
      <c r="C104" s="1" t="str">
        <f t="shared" si="1"/>
        <v>May</v>
      </c>
      <c r="D104" t="s">
        <v>208</v>
      </c>
      <c r="E104" t="s">
        <v>13</v>
      </c>
      <c r="F104" s="4">
        <v>4</v>
      </c>
      <c r="G104" s="3">
        <v>946.76</v>
      </c>
      <c r="H104" s="3" t="str">
        <f>VLOOKUP(Sales!E:E, Table2[#All], 3,FALSE)</f>
        <v>Home</v>
      </c>
      <c r="I104" s="3" t="str">
        <f>VLOOKUP(D:D,Table3[#All], 4, FALSE)</f>
        <v>India</v>
      </c>
      <c r="J104" s="2">
        <f>VLOOKUP(D:D,Table3[#All], 5, FALSE)</f>
        <v>45226</v>
      </c>
      <c r="K104" s="2" t="str">
        <f>TEXT(Table1[[#This Row],[SIGNUPDATE]], "mmm, yy")</f>
        <v>Oct, 23</v>
      </c>
      <c r="L104" s="3" t="str">
        <f>IFERROR(VLOOKUP(D:D,Customer_info!A:A, 1, FALSE), "Not found")</f>
        <v>CUST063</v>
      </c>
      <c r="M104" s="3"/>
    </row>
    <row r="105" spans="1:13">
      <c r="A105" t="s">
        <v>209</v>
      </c>
      <c r="B105" s="2">
        <v>45459</v>
      </c>
      <c r="C105" s="1" t="str">
        <f t="shared" si="1"/>
        <v>Jun</v>
      </c>
      <c r="D105" t="s">
        <v>210</v>
      </c>
      <c r="E105" t="s">
        <v>147</v>
      </c>
      <c r="F105" s="4">
        <v>5</v>
      </c>
      <c r="G105" s="3">
        <v>1699.75</v>
      </c>
      <c r="H105" s="3" t="str">
        <f>VLOOKUP(Sales!E:E, Table2[#All], 3,FALSE)</f>
        <v>Electronics</v>
      </c>
      <c r="I105" s="3" t="str">
        <f>VLOOKUP(D:D,Table3[#All], 4, FALSE)</f>
        <v>United States</v>
      </c>
      <c r="J105" s="2">
        <f>VLOOKUP(D:D,Table3[#All], 5, FALSE)</f>
        <v>45069</v>
      </c>
      <c r="K105" s="2" t="str">
        <f>TEXT(Table1[[#This Row],[SIGNUPDATE]], "mmm, yy")</f>
        <v>May, 23</v>
      </c>
      <c r="L105" s="3" t="str">
        <f>IFERROR(VLOOKUP(D:D,Customer_info!A:A, 1, FALSE), "Not found")</f>
        <v>CUST036</v>
      </c>
      <c r="M105" s="3"/>
    </row>
    <row r="106" spans="1:13">
      <c r="A106" t="s">
        <v>211</v>
      </c>
      <c r="B106" s="2">
        <v>45411</v>
      </c>
      <c r="C106" s="1" t="str">
        <f t="shared" si="1"/>
        <v>Apr</v>
      </c>
      <c r="D106" t="s">
        <v>96</v>
      </c>
      <c r="E106" t="s">
        <v>97</v>
      </c>
      <c r="F106" s="4">
        <v>3</v>
      </c>
      <c r="G106" s="3">
        <v>395.52</v>
      </c>
      <c r="H106" s="3" t="str">
        <f>VLOOKUP(Sales!E:E, Table2[#All], 3,FALSE)</f>
        <v>Electronics</v>
      </c>
      <c r="I106" s="3" t="str">
        <f>VLOOKUP(D:D,Table3[#All], 4, FALSE)</f>
        <v>United States</v>
      </c>
      <c r="J106" s="2">
        <f>VLOOKUP(D:D,Table3[#All], 5, FALSE)</f>
        <v>45039</v>
      </c>
      <c r="K106" s="2" t="str">
        <f>TEXT(Table1[[#This Row],[SIGNUPDATE]], "mmm, yy")</f>
        <v>Apr, 23</v>
      </c>
      <c r="L106" s="3" t="str">
        <f>IFERROR(VLOOKUP(D:D,Customer_info!A:A, 1, FALSE), "Not found")</f>
        <v>CUST014</v>
      </c>
      <c r="M106" s="3"/>
    </row>
    <row r="107" spans="1:13">
      <c r="A107" t="s">
        <v>212</v>
      </c>
      <c r="B107" s="2">
        <v>45405</v>
      </c>
      <c r="C107" s="1" t="str">
        <f t="shared" si="1"/>
        <v>Apr</v>
      </c>
      <c r="D107" t="s">
        <v>213</v>
      </c>
      <c r="E107" t="s">
        <v>59</v>
      </c>
      <c r="F107" s="4">
        <v>4</v>
      </c>
      <c r="G107" s="3">
        <v>365.96</v>
      </c>
      <c r="H107" s="3" t="str">
        <f>VLOOKUP(Sales!E:E, Table2[#All], 3,FALSE)</f>
        <v>Clothing</v>
      </c>
      <c r="I107" s="3" t="str">
        <f>VLOOKUP(D:D,Table3[#All], 4, FALSE)</f>
        <v>United Kingdom</v>
      </c>
      <c r="J107" s="2">
        <f>VLOOKUP(D:D,Table3[#All], 5, FALSE)</f>
        <v>45163</v>
      </c>
      <c r="K107" s="2" t="str">
        <f>TEXT(Table1[[#This Row],[SIGNUPDATE]], "mmm, yy")</f>
        <v>Aug, 23</v>
      </c>
      <c r="L107" s="3" t="str">
        <f>IFERROR(VLOOKUP(D:D,Customer_info!A:A, 1, FALSE), "Not found")</f>
        <v>CUST046</v>
      </c>
      <c r="M107" s="3"/>
    </row>
    <row r="108" spans="1:13">
      <c r="A108" t="s">
        <v>214</v>
      </c>
      <c r="B108" s="2">
        <v>45422</v>
      </c>
      <c r="C108" s="1" t="str">
        <f t="shared" si="1"/>
        <v>May</v>
      </c>
      <c r="D108" t="s">
        <v>29</v>
      </c>
      <c r="E108" t="s">
        <v>54</v>
      </c>
      <c r="F108" s="4">
        <v>2</v>
      </c>
      <c r="G108" s="3">
        <v>261.3</v>
      </c>
      <c r="H108" s="3" t="str">
        <f>VLOOKUP(Sales!E:E, Table2[#All], 3,FALSE)</f>
        <v>Sports</v>
      </c>
      <c r="I108" s="3" t="str">
        <f>VLOOKUP(D:D,Table3[#All], 4, FALSE)</f>
        <v>UK</v>
      </c>
      <c r="J108" s="2">
        <f>VLOOKUP(D:D,Table3[#All], 5, FALSE)</f>
        <v>45229</v>
      </c>
      <c r="K108" s="2" t="str">
        <f>TEXT(Table1[[#This Row],[SIGNUPDATE]], "mmm, yy")</f>
        <v>Oct, 23</v>
      </c>
      <c r="L108" s="3" t="str">
        <f>IFERROR(VLOOKUP(D:D,Customer_info!A:A, 1, FALSE), "Not found")</f>
        <v>CUST006</v>
      </c>
      <c r="M108" s="3"/>
    </row>
    <row r="109" spans="1:13">
      <c r="A109" t="s">
        <v>215</v>
      </c>
      <c r="B109" s="2">
        <v>45335</v>
      </c>
      <c r="C109" s="1" t="str">
        <f t="shared" si="1"/>
        <v>Feb</v>
      </c>
      <c r="D109" t="s">
        <v>9</v>
      </c>
      <c r="E109" t="s">
        <v>71</v>
      </c>
      <c r="F109" s="4">
        <v>4</v>
      </c>
      <c r="G109" s="3">
        <v>866.88</v>
      </c>
      <c r="H109" s="3" t="str">
        <f>VLOOKUP(Sales!E:E, Table2[#All], 3,FALSE)</f>
        <v>Clothing</v>
      </c>
      <c r="I109" s="3" t="str">
        <f>VLOOKUP(D:D,Table3[#All], 4, FALSE)</f>
        <v>India</v>
      </c>
      <c r="J109" s="2">
        <f>VLOOKUP(D:D,Table3[#All], 5, FALSE)</f>
        <v>44985</v>
      </c>
      <c r="K109" s="2" t="str">
        <f>TEXT(Table1[[#This Row],[SIGNUPDATE]], "mmm, yy")</f>
        <v>Feb, 23</v>
      </c>
      <c r="L109" s="3" t="str">
        <f>IFERROR(VLOOKUP(D:D,Customer_info!A:A, 1, FALSE), "Not found")</f>
        <v>CUST077</v>
      </c>
      <c r="M109" s="3"/>
    </row>
    <row r="110" spans="1:13">
      <c r="A110" t="s">
        <v>216</v>
      </c>
      <c r="B110" s="2">
        <v>45364</v>
      </c>
      <c r="C110" s="1" t="str">
        <f t="shared" si="1"/>
        <v>Mar</v>
      </c>
      <c r="D110" t="s">
        <v>217</v>
      </c>
      <c r="E110" t="s">
        <v>43</v>
      </c>
      <c r="F110" s="4">
        <v>1</v>
      </c>
      <c r="G110" s="3">
        <v>272.77999999999997</v>
      </c>
      <c r="H110" s="3" t="str">
        <f>VLOOKUP(Sales!E:E, Table2[#All], 3,FALSE)</f>
        <v>Clothing</v>
      </c>
      <c r="I110" s="3" t="str">
        <f>VLOOKUP(D:D,Table3[#All], 4, FALSE)</f>
        <v>United States</v>
      </c>
      <c r="J110" s="2">
        <f>VLOOKUP(D:D,Table3[#All], 5, FALSE)</f>
        <v>45225</v>
      </c>
      <c r="K110" s="2" t="str">
        <f>TEXT(Table1[[#This Row],[SIGNUPDATE]], "mmm, yy")</f>
        <v>Oct, 23</v>
      </c>
      <c r="L110" s="3" t="str">
        <f>IFERROR(VLOOKUP(D:D,Customer_info!A:A, 1, FALSE), "Not found")</f>
        <v>CUST064</v>
      </c>
      <c r="M110" s="3"/>
    </row>
    <row r="111" spans="1:13">
      <c r="A111" t="s">
        <v>218</v>
      </c>
      <c r="B111" s="2">
        <v>45461</v>
      </c>
      <c r="C111" s="1" t="str">
        <f t="shared" si="1"/>
        <v>Jun</v>
      </c>
      <c r="D111" t="s">
        <v>181</v>
      </c>
      <c r="E111" t="s">
        <v>195</v>
      </c>
      <c r="F111" s="4">
        <v>5</v>
      </c>
      <c r="G111" s="3">
        <v>1229.3499999999999</v>
      </c>
      <c r="H111" s="3" t="str">
        <f>VLOOKUP(Sales!E:E, Table2[#All], 3,FALSE)</f>
        <v>Beauty</v>
      </c>
      <c r="I111" s="3" t="str">
        <f>VLOOKUP(D:D,Table3[#All], 4, FALSE)</f>
        <v>Canada</v>
      </c>
      <c r="J111" s="2">
        <f>VLOOKUP(D:D,Table3[#All], 5, FALSE)</f>
        <v>45028</v>
      </c>
      <c r="K111" s="2" t="str">
        <f>TEXT(Table1[[#This Row],[SIGNUPDATE]], "mmm, yy")</f>
        <v>Apr, 23</v>
      </c>
      <c r="L111" s="3" t="str">
        <f>IFERROR(VLOOKUP(D:D,Customer_info!A:A, 1, FALSE), "Not found")</f>
        <v>CUST088</v>
      </c>
      <c r="M111" s="3"/>
    </row>
    <row r="112" spans="1:13">
      <c r="A112" t="s">
        <v>219</v>
      </c>
      <c r="B112" s="2">
        <v>45377</v>
      </c>
      <c r="C112" s="1" t="str">
        <f t="shared" si="1"/>
        <v>Mar</v>
      </c>
      <c r="D112" t="s">
        <v>110</v>
      </c>
      <c r="E112" t="s">
        <v>67</v>
      </c>
      <c r="F112" s="4">
        <v>5</v>
      </c>
      <c r="G112" s="3">
        <v>2011.45</v>
      </c>
      <c r="H112" s="3" t="str">
        <f>VLOOKUP(Sales!E:E, Table2[#All], 3,FALSE)</f>
        <v>Home</v>
      </c>
      <c r="I112" s="3" t="str">
        <f>VLOOKUP(D:D,Table3[#All], 4, FALSE)</f>
        <v>United Kingdom</v>
      </c>
      <c r="J112" s="2">
        <f>VLOOKUP(D:D,Table3[#All], 5, FALSE)</f>
        <v>45062</v>
      </c>
      <c r="K112" s="2" t="str">
        <f>TEXT(Table1[[#This Row],[SIGNUPDATE]], "mmm, yy")</f>
        <v>May, 23</v>
      </c>
      <c r="L112" s="3" t="str">
        <f>IFERROR(VLOOKUP(D:D,Customer_info!A:A, 1, FALSE), "Not found")</f>
        <v>CUST059</v>
      </c>
      <c r="M112" s="3"/>
    </row>
    <row r="113" spans="1:13">
      <c r="A113" t="s">
        <v>220</v>
      </c>
      <c r="B113" s="2">
        <v>45352</v>
      </c>
      <c r="C113" s="1" t="str">
        <f t="shared" si="1"/>
        <v>Mar</v>
      </c>
      <c r="D113" t="s">
        <v>221</v>
      </c>
      <c r="E113" t="s">
        <v>27</v>
      </c>
      <c r="F113" s="4">
        <v>1</v>
      </c>
      <c r="G113" s="3">
        <v>452.2</v>
      </c>
      <c r="H113" s="3" t="str">
        <f>VLOOKUP(Sales!E:E, Table2[#All], 3,FALSE)</f>
        <v>Beauty</v>
      </c>
      <c r="I113" s="3" t="str">
        <f>VLOOKUP(D:D,Table3[#All], 4, FALSE)</f>
        <v>India</v>
      </c>
      <c r="J113" s="2">
        <f>VLOOKUP(D:D,Table3[#All], 5, FALSE)</f>
        <v>45280</v>
      </c>
      <c r="K113" s="2" t="str">
        <f>TEXT(Table1[[#This Row],[SIGNUPDATE]], "mmm, yy")</f>
        <v>Dec, 23</v>
      </c>
      <c r="L113" s="3" t="str">
        <f>IFERROR(VLOOKUP(D:D,Customer_info!A:A, 1, FALSE), "Not found")</f>
        <v>CUST106</v>
      </c>
      <c r="M113" s="3"/>
    </row>
    <row r="114" spans="1:13">
      <c r="A114" t="s">
        <v>222</v>
      </c>
      <c r="B114" s="2">
        <v>45349</v>
      </c>
      <c r="C114" s="1" t="str">
        <f t="shared" si="1"/>
        <v>Feb</v>
      </c>
      <c r="D114" t="s">
        <v>187</v>
      </c>
      <c r="E114" t="s">
        <v>27</v>
      </c>
      <c r="F114" s="4">
        <v>3</v>
      </c>
      <c r="G114" s="3">
        <v>1356.6</v>
      </c>
      <c r="H114" s="3" t="str">
        <f>VLOOKUP(Sales!E:E, Table2[#All], 3,FALSE)</f>
        <v>Beauty</v>
      </c>
      <c r="I114" s="3" t="str">
        <f>VLOOKUP(D:D,Table3[#All], 4, FALSE)</f>
        <v>UK</v>
      </c>
      <c r="J114" s="2">
        <f>VLOOKUP(D:D,Table3[#All], 5, FALSE)</f>
        <v>45112</v>
      </c>
      <c r="K114" s="2" t="str">
        <f>TEXT(Table1[[#This Row],[SIGNUPDATE]], "mmm, yy")</f>
        <v>Jul, 23</v>
      </c>
      <c r="L114" s="3" t="str">
        <f>IFERROR(VLOOKUP(D:D,Customer_info!A:A, 1, FALSE), "Not found")</f>
        <v>CUST094</v>
      </c>
      <c r="M114" s="3"/>
    </row>
    <row r="115" spans="1:13">
      <c r="A115" t="s">
        <v>223</v>
      </c>
      <c r="B115" s="2">
        <v>45329</v>
      </c>
      <c r="C115" s="1" t="str">
        <f t="shared" si="1"/>
        <v>Feb</v>
      </c>
      <c r="D115" t="s">
        <v>197</v>
      </c>
      <c r="E115" t="s">
        <v>224</v>
      </c>
      <c r="F115" s="4">
        <v>2</v>
      </c>
      <c r="G115" s="3">
        <v>927.84</v>
      </c>
      <c r="H115" s="3" t="str">
        <f>VLOOKUP(Sales!E:E, Table2[#All], 3,FALSE)</f>
        <v>Electronics</v>
      </c>
      <c r="I115" s="3" t="str">
        <f>VLOOKUP(D:D,Table3[#All], 4, FALSE)</f>
        <v>UK</v>
      </c>
      <c r="J115" s="2">
        <f>VLOOKUP(D:D,Table3[#All], 5, FALSE)</f>
        <v>45005</v>
      </c>
      <c r="K115" s="2" t="str">
        <f>TEXT(Table1[[#This Row],[SIGNUPDATE]], "mmm, yy")</f>
        <v>Mar, 23</v>
      </c>
      <c r="L115" s="3" t="str">
        <f>IFERROR(VLOOKUP(D:D,Customer_info!A:A, 1, FALSE), "Not found")</f>
        <v>CUST069</v>
      </c>
      <c r="M115" s="3"/>
    </row>
    <row r="116" spans="1:13">
      <c r="A116" t="s">
        <v>225</v>
      </c>
      <c r="B116" s="2">
        <v>45303</v>
      </c>
      <c r="C116" s="1" t="str">
        <f t="shared" si="1"/>
        <v>Jan</v>
      </c>
      <c r="D116" t="s">
        <v>130</v>
      </c>
      <c r="E116" t="s">
        <v>97</v>
      </c>
      <c r="F116" s="4">
        <v>1</v>
      </c>
      <c r="G116" s="3">
        <v>131.84</v>
      </c>
      <c r="H116" s="3" t="str">
        <f>VLOOKUP(Sales!E:E, Table2[#All], 3,FALSE)</f>
        <v>Electronics</v>
      </c>
      <c r="I116" s="3" t="str">
        <f>VLOOKUP(D:D,Table3[#All], 4, FALSE)</f>
        <v>Canada</v>
      </c>
      <c r="J116" s="2">
        <f>VLOOKUP(D:D,Table3[#All], 5, FALSE)</f>
        <v>45018</v>
      </c>
      <c r="K116" s="2" t="str">
        <f>TEXT(Table1[[#This Row],[SIGNUPDATE]], "mmm, yy")</f>
        <v>Apr, 23</v>
      </c>
      <c r="L116" s="3" t="str">
        <f>IFERROR(VLOOKUP(D:D,Customer_info!A:A, 1, FALSE), "Not found")</f>
        <v>CUST084</v>
      </c>
      <c r="M116" s="3"/>
    </row>
    <row r="117" spans="1:13">
      <c r="A117" t="s">
        <v>226</v>
      </c>
      <c r="B117" s="2">
        <v>45413</v>
      </c>
      <c r="C117" s="1" t="str">
        <f t="shared" si="1"/>
        <v>May</v>
      </c>
      <c r="D117" t="s">
        <v>119</v>
      </c>
      <c r="E117" t="s">
        <v>62</v>
      </c>
      <c r="F117" s="4">
        <v>2</v>
      </c>
      <c r="G117" s="3">
        <v>115.96</v>
      </c>
      <c r="H117" s="3" t="str">
        <f>VLOOKUP(Sales!E:E, Table2[#All], 3,FALSE)</f>
        <v>Sports</v>
      </c>
      <c r="I117" s="3" t="str">
        <f>VLOOKUP(D:D,Table3[#All], 4, FALSE)</f>
        <v>UK</v>
      </c>
      <c r="J117" s="2">
        <f>VLOOKUP(D:D,Table3[#All], 5, FALSE)</f>
        <v>45050</v>
      </c>
      <c r="K117" s="2" t="str">
        <f>TEXT(Table1[[#This Row],[SIGNUPDATE]], "mmm, yy")</f>
        <v>May, 23</v>
      </c>
      <c r="L117" s="3" t="str">
        <f>IFERROR(VLOOKUP(D:D,Customer_info!A:A, 1, FALSE), "Not found")</f>
        <v>CUST096</v>
      </c>
      <c r="M117" s="3"/>
    </row>
    <row r="118" spans="1:13">
      <c r="A118" t="s">
        <v>227</v>
      </c>
      <c r="B118" s="2">
        <v>45310</v>
      </c>
      <c r="C118" s="1" t="str">
        <f t="shared" si="1"/>
        <v>Jan</v>
      </c>
      <c r="D118" t="s">
        <v>228</v>
      </c>
      <c r="E118" t="s">
        <v>131</v>
      </c>
      <c r="F118" s="4">
        <v>5</v>
      </c>
      <c r="G118" s="3">
        <v>1689</v>
      </c>
      <c r="H118" s="3" t="str">
        <f>VLOOKUP(Sales!E:E, Table2[#All], 3,FALSE)</f>
        <v>Home</v>
      </c>
      <c r="I118" s="3" t="str">
        <f>VLOOKUP(D:D,Table3[#All], 4, FALSE)</f>
        <v>United Kingdom</v>
      </c>
      <c r="J118" s="2">
        <f>VLOOKUP(D:D,Table3[#All], 5, FALSE)</f>
        <v>45046</v>
      </c>
      <c r="K118" s="2" t="str">
        <f>TEXT(Table1[[#This Row],[SIGNUPDATE]], "mmm, yy")</f>
        <v>Apr, 23</v>
      </c>
      <c r="L118" s="3" t="str">
        <f>IFERROR(VLOOKUP(D:D,Customer_info!A:A, 1, FALSE), "Not found")</f>
        <v>CUST009</v>
      </c>
      <c r="M118" s="3"/>
    </row>
    <row r="119" spans="1:13">
      <c r="A119" t="s">
        <v>229</v>
      </c>
      <c r="B119" s="2">
        <v>45398</v>
      </c>
      <c r="C119" s="1" t="str">
        <f t="shared" si="1"/>
        <v>Apr</v>
      </c>
      <c r="D119" t="s">
        <v>94</v>
      </c>
      <c r="E119" t="s">
        <v>230</v>
      </c>
      <c r="F119" s="4">
        <v>4</v>
      </c>
      <c r="G119" s="3">
        <v>974.52</v>
      </c>
      <c r="H119" s="3" t="str">
        <f>VLOOKUP(Sales!E:E, Table2[#All], 3,FALSE)</f>
        <v>Sports</v>
      </c>
      <c r="I119" s="3" t="str">
        <f>VLOOKUP(D:D,Table3[#All], 4, FALSE)</f>
        <v>UK</v>
      </c>
      <c r="J119" s="2">
        <f>VLOOKUP(D:D,Table3[#All], 5, FALSE)</f>
        <v>45199</v>
      </c>
      <c r="K119" s="2" t="str">
        <f>TEXT(Table1[[#This Row],[SIGNUPDATE]], "mmm, yy")</f>
        <v>Sep, 23</v>
      </c>
      <c r="L119" s="3" t="str">
        <f>IFERROR(VLOOKUP(D:D,Customer_info!A:A, 1, FALSE), "Not found")</f>
        <v>CUST099</v>
      </c>
      <c r="M119" s="3"/>
    </row>
    <row r="120" spans="1:13">
      <c r="A120" t="s">
        <v>231</v>
      </c>
      <c r="B120" s="2">
        <v>45341</v>
      </c>
      <c r="C120" s="1" t="str">
        <f t="shared" si="1"/>
        <v>Feb</v>
      </c>
      <c r="D120" t="s">
        <v>232</v>
      </c>
      <c r="E120" t="s">
        <v>71</v>
      </c>
      <c r="F120" s="4">
        <v>5</v>
      </c>
      <c r="G120" s="3">
        <v>1083.5999999999999</v>
      </c>
      <c r="H120" s="3" t="str">
        <f>VLOOKUP(Sales!E:E, Table2[#All], 3,FALSE)</f>
        <v>Clothing</v>
      </c>
      <c r="I120" s="3" t="str">
        <f>VLOOKUP(D:D,Table3[#All], 4, FALSE)</f>
        <v>India</v>
      </c>
      <c r="J120" s="2">
        <f>VLOOKUP(D:D,Table3[#All], 5, FALSE)</f>
        <v>44957</v>
      </c>
      <c r="K120" s="2" t="str">
        <f>TEXT(Table1[[#This Row],[SIGNUPDATE]], "mmm, yy")</f>
        <v>Jan, 23</v>
      </c>
      <c r="L120" s="3" t="str">
        <f>IFERROR(VLOOKUP(D:D,Customer_info!A:A, 1, FALSE), "Not found")</f>
        <v>CUST119</v>
      </c>
      <c r="M120" s="3"/>
    </row>
    <row r="121" spans="1:13">
      <c r="A121" t="s">
        <v>233</v>
      </c>
      <c r="B121" s="2">
        <v>45418</v>
      </c>
      <c r="C121" s="1" t="str">
        <f t="shared" si="1"/>
        <v>May</v>
      </c>
      <c r="D121" t="s">
        <v>234</v>
      </c>
      <c r="E121" t="s">
        <v>123</v>
      </c>
      <c r="F121" s="4">
        <v>4</v>
      </c>
      <c r="G121" s="3">
        <v>158.80000000000001</v>
      </c>
      <c r="H121" s="3" t="str">
        <f>VLOOKUP(Sales!E:E, Table2[#All], 3,FALSE)</f>
        <v>Electronics</v>
      </c>
      <c r="I121" s="3" t="str">
        <f>VLOOKUP(D:D,Table3[#All], 4, FALSE)</f>
        <v>United States</v>
      </c>
      <c r="J121" s="2">
        <f>VLOOKUP(D:D,Table3[#All], 5, FALSE)</f>
        <v>45065</v>
      </c>
      <c r="K121" s="2" t="str">
        <f>TEXT(Table1[[#This Row],[SIGNUPDATE]], "mmm, yy")</f>
        <v>May, 23</v>
      </c>
      <c r="L121" s="3" t="str">
        <f>IFERROR(VLOOKUP(D:D,Customer_info!A:A, 1, FALSE), "Not found")</f>
        <v>CUST047</v>
      </c>
      <c r="M121" s="3"/>
    </row>
    <row r="122" spans="1:13">
      <c r="A122" t="s">
        <v>235</v>
      </c>
      <c r="B122" s="2">
        <v>45354</v>
      </c>
      <c r="C122" s="1" t="str">
        <f t="shared" si="1"/>
        <v>Mar</v>
      </c>
      <c r="D122" t="s">
        <v>115</v>
      </c>
      <c r="E122" t="s">
        <v>145</v>
      </c>
      <c r="F122" s="4">
        <v>4</v>
      </c>
      <c r="G122" s="3">
        <v>1331.6</v>
      </c>
      <c r="H122" s="3" t="str">
        <f>VLOOKUP(Sales!E:E, Table2[#All], 3,FALSE)</f>
        <v>Electronics</v>
      </c>
      <c r="I122" s="3" t="str">
        <f>VLOOKUP(D:D,Table3[#All], 4, FALSE)</f>
        <v>United Kingdom</v>
      </c>
      <c r="J122" s="2">
        <f>VLOOKUP(D:D,Table3[#All], 5, FALSE)</f>
        <v>45228</v>
      </c>
      <c r="K122" s="2" t="str">
        <f>TEXT(Table1[[#This Row],[SIGNUPDATE]], "mmm, yy")</f>
        <v>Oct, 23</v>
      </c>
      <c r="L122" s="3" t="str">
        <f>IFERROR(VLOOKUP(D:D,Customer_info!A:A, 1, FALSE), "Not found")</f>
        <v>CUST116</v>
      </c>
      <c r="M122" s="3"/>
    </row>
    <row r="123" spans="1:13">
      <c r="A123" t="s">
        <v>236</v>
      </c>
      <c r="B123" s="2">
        <v>45459</v>
      </c>
      <c r="C123" s="1" t="str">
        <f t="shared" si="1"/>
        <v>Jun</v>
      </c>
      <c r="D123" t="s">
        <v>237</v>
      </c>
      <c r="E123" t="s">
        <v>10</v>
      </c>
      <c r="F123" s="4">
        <v>2</v>
      </c>
      <c r="G123" s="3">
        <v>79.739999999999995</v>
      </c>
      <c r="H123" s="3" t="str">
        <f>VLOOKUP(Sales!E:E, Table2[#All], 3,FALSE)</f>
        <v>Sports</v>
      </c>
      <c r="I123" s="3" t="str">
        <f>VLOOKUP(D:D,Table3[#All], 4, FALSE)</f>
        <v>United Kingdom</v>
      </c>
      <c r="J123" s="2">
        <f>VLOOKUP(D:D,Table3[#All], 5, FALSE)</f>
        <v>45203</v>
      </c>
      <c r="K123" s="2" t="str">
        <f>TEXT(Table1[[#This Row],[SIGNUPDATE]], "mmm, yy")</f>
        <v>Oct, 23</v>
      </c>
      <c r="L123" s="3" t="str">
        <f>IFERROR(VLOOKUP(D:D,Customer_info!A:A, 1, FALSE), "Not found")</f>
        <v>CUST105</v>
      </c>
      <c r="M123" s="3"/>
    </row>
    <row r="124" spans="1:13">
      <c r="A124" t="s">
        <v>238</v>
      </c>
      <c r="B124" s="2">
        <v>45319</v>
      </c>
      <c r="C124" s="1" t="str">
        <f t="shared" si="1"/>
        <v>Jan</v>
      </c>
      <c r="D124" t="s">
        <v>47</v>
      </c>
      <c r="E124" t="s">
        <v>230</v>
      </c>
      <c r="F124" s="4">
        <v>1</v>
      </c>
      <c r="G124" s="3">
        <v>243.63</v>
      </c>
      <c r="H124" s="3" t="str">
        <f>VLOOKUP(Sales!E:E, Table2[#All], 3,FALSE)</f>
        <v>Sports</v>
      </c>
      <c r="I124" s="3" t="str">
        <f>VLOOKUP(D:D,Table3[#All], 4, FALSE)</f>
        <v>Canada</v>
      </c>
      <c r="J124" s="2">
        <f>VLOOKUP(D:D,Table3[#All], 5, FALSE)</f>
        <v>45039</v>
      </c>
      <c r="K124" s="2" t="str">
        <f>TEXT(Table1[[#This Row],[SIGNUPDATE]], "mmm, yy")</f>
        <v>Apr, 23</v>
      </c>
      <c r="L124" s="3" t="str">
        <f>IFERROR(VLOOKUP(D:D,Customer_info!A:A, 1, FALSE), "Not found")</f>
        <v>CUST049</v>
      </c>
      <c r="M124" s="3"/>
    </row>
    <row r="125" spans="1:13">
      <c r="A125" t="s">
        <v>239</v>
      </c>
      <c r="B125" s="2">
        <v>45348</v>
      </c>
      <c r="C125" s="1" t="str">
        <f t="shared" si="1"/>
        <v>Feb</v>
      </c>
      <c r="D125" t="s">
        <v>240</v>
      </c>
      <c r="E125" t="s">
        <v>135</v>
      </c>
      <c r="F125" s="4">
        <v>4</v>
      </c>
      <c r="G125" s="3">
        <v>1724.88</v>
      </c>
      <c r="H125" s="3" t="str">
        <f>VLOOKUP(Sales!E:E, Table2[#All], 3,FALSE)</f>
        <v>Electronics</v>
      </c>
      <c r="I125" s="3" t="str">
        <f>VLOOKUP(D:D,Table3[#All], 4, FALSE)</f>
        <v>United States</v>
      </c>
      <c r="J125" s="2">
        <f>VLOOKUP(D:D,Table3[#All], 5, FALSE)</f>
        <v>45228</v>
      </c>
      <c r="K125" s="2" t="str">
        <f>TEXT(Table1[[#This Row],[SIGNUPDATE]], "mmm, yy")</f>
        <v>Oct, 23</v>
      </c>
      <c r="L125" s="3" t="str">
        <f>IFERROR(VLOOKUP(D:D,Customer_info!A:A, 1, FALSE), "Not found")</f>
        <v>CUST015</v>
      </c>
      <c r="M125" s="3"/>
    </row>
    <row r="126" spans="1:13">
      <c r="A126" t="s">
        <v>241</v>
      </c>
      <c r="B126" s="2">
        <v>45470</v>
      </c>
      <c r="C126" s="1" t="str">
        <f t="shared" si="1"/>
        <v>Jun</v>
      </c>
      <c r="D126" t="s">
        <v>242</v>
      </c>
      <c r="E126" t="s">
        <v>71</v>
      </c>
      <c r="F126" s="4">
        <v>2</v>
      </c>
      <c r="G126" s="3">
        <v>433.44</v>
      </c>
      <c r="H126" s="3" t="str">
        <f>VLOOKUP(Sales!E:E, Table2[#All], 3,FALSE)</f>
        <v>Clothing</v>
      </c>
      <c r="I126" s="3" t="str">
        <f>VLOOKUP(D:D,Table3[#All], 4, FALSE)</f>
        <v>India</v>
      </c>
      <c r="J126" s="2">
        <f>VLOOKUP(D:D,Table3[#All], 5, FALSE)</f>
        <v>45243</v>
      </c>
      <c r="K126" s="2" t="str">
        <f>TEXT(Table1[[#This Row],[SIGNUPDATE]], "mmm, yy")</f>
        <v>Nov, 23</v>
      </c>
      <c r="L126" s="3" t="str">
        <f>IFERROR(VLOOKUP(D:D,Customer_info!A:A, 1, FALSE), "Not found")</f>
        <v>CUST029</v>
      </c>
      <c r="M126" s="3"/>
    </row>
    <row r="127" spans="1:13">
      <c r="A127" t="s">
        <v>243</v>
      </c>
      <c r="B127" s="2">
        <v>45410</v>
      </c>
      <c r="C127" s="1" t="str">
        <f t="shared" si="1"/>
        <v>Apr</v>
      </c>
      <c r="D127" t="s">
        <v>244</v>
      </c>
      <c r="E127" t="s">
        <v>51</v>
      </c>
      <c r="F127" s="4">
        <v>5</v>
      </c>
      <c r="G127" s="3">
        <v>429.25</v>
      </c>
      <c r="H127" s="3" t="str">
        <f>VLOOKUP(Sales!E:E, Table2[#All], 3,FALSE)</f>
        <v>Beauty</v>
      </c>
      <c r="I127" s="3" t="str">
        <f>VLOOKUP(D:D,Table3[#All], 4, FALSE)</f>
        <v>UK</v>
      </c>
      <c r="J127" s="2">
        <f>VLOOKUP(D:D,Table3[#All], 5, FALSE)</f>
        <v>44974</v>
      </c>
      <c r="K127" s="2" t="str">
        <f>TEXT(Table1[[#This Row],[SIGNUPDATE]], "mmm, yy")</f>
        <v>Feb, 23</v>
      </c>
      <c r="L127" s="3" t="str">
        <f>IFERROR(VLOOKUP(D:D,Customer_info!A:A, 1, FALSE), "Not found")</f>
        <v>CUST008</v>
      </c>
      <c r="M127" s="3"/>
    </row>
    <row r="128" spans="1:13">
      <c r="A128" t="s">
        <v>245</v>
      </c>
      <c r="B128" s="2">
        <v>45434</v>
      </c>
      <c r="C128" s="1" t="str">
        <f t="shared" si="1"/>
        <v>May</v>
      </c>
      <c r="D128" t="s">
        <v>246</v>
      </c>
      <c r="E128" t="s">
        <v>48</v>
      </c>
      <c r="F128" s="4">
        <v>1</v>
      </c>
      <c r="G128" s="3">
        <v>293.8</v>
      </c>
      <c r="H128" s="3" t="str">
        <f>VLOOKUP(Sales!E:E, Table2[#All], 3,FALSE)</f>
        <v>Electronics</v>
      </c>
      <c r="I128" s="3" t="str">
        <f>VLOOKUP(D:D,Table3[#All], 4, FALSE)</f>
        <v>US</v>
      </c>
      <c r="J128" s="2">
        <f>VLOOKUP(D:D,Table3[#All], 5, FALSE)</f>
        <v>44937</v>
      </c>
      <c r="K128" s="2" t="str">
        <f>TEXT(Table1[[#This Row],[SIGNUPDATE]], "mmm, yy")</f>
        <v>Jan, 23</v>
      </c>
      <c r="L128" s="3" t="str">
        <f>IFERROR(VLOOKUP(D:D,Customer_info!A:A, 1, FALSE), "Not found")</f>
        <v>CUST114</v>
      </c>
      <c r="M128" s="3"/>
    </row>
    <row r="129" spans="1:13">
      <c r="A129" t="s">
        <v>247</v>
      </c>
      <c r="B129" s="2">
        <v>45323</v>
      </c>
      <c r="C129" s="1" t="str">
        <f t="shared" si="1"/>
        <v>Feb</v>
      </c>
      <c r="D129" t="s">
        <v>248</v>
      </c>
      <c r="E129" t="s">
        <v>25</v>
      </c>
      <c r="F129" s="4">
        <v>2</v>
      </c>
      <c r="G129" s="3">
        <v>299.54000000000002</v>
      </c>
      <c r="H129" s="3" t="str">
        <f>VLOOKUP(Sales!E:E, Table2[#All], 3,FALSE)</f>
        <v>Beauty</v>
      </c>
      <c r="I129" s="3" t="str">
        <f>VLOOKUP(D:D,Table3[#All], 4, FALSE)</f>
        <v>Canada</v>
      </c>
      <c r="J129" s="2">
        <f>VLOOKUP(D:D,Table3[#All], 5, FALSE)</f>
        <v>44990</v>
      </c>
      <c r="K129" s="2" t="str">
        <f>TEXT(Table1[[#This Row],[SIGNUPDATE]], "mmm, yy")</f>
        <v>Mar, 23</v>
      </c>
      <c r="L129" s="3" t="str">
        <f>IFERROR(VLOOKUP(D:D,Customer_info!A:A, 1, FALSE), "Not found")</f>
        <v>CUST026</v>
      </c>
      <c r="M129" s="3"/>
    </row>
    <row r="130" spans="1:13">
      <c r="A130" t="s">
        <v>249</v>
      </c>
      <c r="B130" s="2">
        <v>45326</v>
      </c>
      <c r="C130" s="1" t="str">
        <f t="shared" si="1"/>
        <v>Feb</v>
      </c>
      <c r="D130" t="s">
        <v>184</v>
      </c>
      <c r="E130" t="s">
        <v>135</v>
      </c>
      <c r="F130" s="4">
        <v>4</v>
      </c>
      <c r="G130" s="3">
        <v>1724.88</v>
      </c>
      <c r="H130" s="3" t="str">
        <f>VLOOKUP(Sales!E:E, Table2[#All], 3,FALSE)</f>
        <v>Electronics</v>
      </c>
      <c r="I130" s="3" t="str">
        <f>VLOOKUP(D:D,Table3[#All], 4, FALSE)</f>
        <v>India</v>
      </c>
      <c r="J130" s="2">
        <f>VLOOKUP(D:D,Table3[#All], 5, FALSE)</f>
        <v>45186</v>
      </c>
      <c r="K130" s="2" t="str">
        <f>TEXT(Table1[[#This Row],[SIGNUPDATE]], "mmm, yy")</f>
        <v>Sep, 23</v>
      </c>
      <c r="L130" s="3" t="str">
        <f>IFERROR(VLOOKUP(D:D,Customer_info!A:A, 1, FALSE), "Not found")</f>
        <v>CUST087</v>
      </c>
      <c r="M130" s="3"/>
    </row>
    <row r="131" spans="1:13">
      <c r="A131" t="s">
        <v>250</v>
      </c>
      <c r="B131" s="2">
        <v>45462</v>
      </c>
      <c r="C131" s="1" t="str">
        <f t="shared" si="1"/>
        <v>Jun</v>
      </c>
      <c r="D131" t="s">
        <v>197</v>
      </c>
      <c r="E131" t="s">
        <v>107</v>
      </c>
      <c r="F131" s="4">
        <v>4</v>
      </c>
      <c r="G131" s="3">
        <v>197</v>
      </c>
      <c r="H131" s="3" t="str">
        <f>VLOOKUP(Sales!E:E, Table2[#All], 3,FALSE)</f>
        <v>Sports</v>
      </c>
      <c r="I131" s="3" t="str">
        <f>VLOOKUP(D:D,Table3[#All], 4, FALSE)</f>
        <v>UK</v>
      </c>
      <c r="J131" s="2">
        <f>VLOOKUP(D:D,Table3[#All], 5, FALSE)</f>
        <v>45005</v>
      </c>
      <c r="K131" s="2" t="str">
        <f>TEXT(Table1[[#This Row],[SIGNUPDATE]], "mmm, yy")</f>
        <v>Mar, 23</v>
      </c>
      <c r="L131" s="3" t="str">
        <f>IFERROR(VLOOKUP(D:D,Customer_info!A:A, 1, FALSE), "Not found")</f>
        <v>CUST069</v>
      </c>
      <c r="M131" s="3"/>
    </row>
    <row r="132" spans="1:13">
      <c r="A132" t="s">
        <v>251</v>
      </c>
      <c r="B132" s="2">
        <v>45435</v>
      </c>
      <c r="C132" s="1" t="str">
        <f t="shared" ref="C132:C195" si="2">TEXT(B132, "mmm")</f>
        <v>May</v>
      </c>
      <c r="D132" t="s">
        <v>175</v>
      </c>
      <c r="E132" t="s">
        <v>121</v>
      </c>
      <c r="F132" s="4">
        <v>5</v>
      </c>
      <c r="G132" s="3">
        <v>435.7</v>
      </c>
      <c r="H132" s="3" t="str">
        <f>VLOOKUP(Sales!E:E, Table2[#All], 3,FALSE)</f>
        <v>Sports</v>
      </c>
      <c r="I132" s="3" t="str">
        <f>VLOOKUP(D:D,Table3[#All], 4, FALSE)</f>
        <v>United Kingdom</v>
      </c>
      <c r="J132" s="2">
        <f>VLOOKUP(D:D,Table3[#All], 5, FALSE)</f>
        <v>44978</v>
      </c>
      <c r="K132" s="2" t="str">
        <f>TEXT(Table1[[#This Row],[SIGNUPDATE]], "mmm, yy")</f>
        <v>Feb, 23</v>
      </c>
      <c r="L132" s="3" t="str">
        <f>IFERROR(VLOOKUP(D:D,Customer_info!A:A, 1, FALSE), "Not found")</f>
        <v>CUST035</v>
      </c>
      <c r="M132" s="3"/>
    </row>
    <row r="133" spans="1:13">
      <c r="A133" t="s">
        <v>252</v>
      </c>
      <c r="B133" s="2">
        <v>45373</v>
      </c>
      <c r="C133" s="1" t="str">
        <f t="shared" si="2"/>
        <v>Mar</v>
      </c>
      <c r="D133" t="s">
        <v>56</v>
      </c>
      <c r="E133" t="s">
        <v>71</v>
      </c>
      <c r="F133" s="4">
        <v>5</v>
      </c>
      <c r="G133" s="3">
        <v>1083.5999999999999</v>
      </c>
      <c r="H133" s="3" t="str">
        <f>VLOOKUP(Sales!E:E, Table2[#All], 3,FALSE)</f>
        <v>Clothing</v>
      </c>
      <c r="I133" s="3" t="str">
        <f>VLOOKUP(D:D,Table3[#All], 4, FALSE)</f>
        <v>UK</v>
      </c>
      <c r="J133" s="2">
        <f>VLOOKUP(D:D,Table3[#All], 5, FALSE)</f>
        <v>45061</v>
      </c>
      <c r="K133" s="2" t="str">
        <f>TEXT(Table1[[#This Row],[SIGNUPDATE]], "mmm, yy")</f>
        <v>May, 23</v>
      </c>
      <c r="L133" s="3" t="str">
        <f>IFERROR(VLOOKUP(D:D,Customer_info!A:A, 1, FALSE), "Not found")</f>
        <v>CUST083</v>
      </c>
      <c r="M133" s="3"/>
    </row>
    <row r="134" spans="1:13">
      <c r="A134" t="s">
        <v>253</v>
      </c>
      <c r="B134" s="2">
        <v>45448</v>
      </c>
      <c r="C134" s="1" t="str">
        <f t="shared" si="2"/>
        <v>Jun</v>
      </c>
      <c r="D134" t="s">
        <v>254</v>
      </c>
      <c r="E134" t="s">
        <v>177</v>
      </c>
      <c r="F134" s="4">
        <v>4</v>
      </c>
      <c r="G134" s="3">
        <v>870.2</v>
      </c>
      <c r="H134" s="3" t="str">
        <f>VLOOKUP(Sales!E:E, Table2[#All], 3,FALSE)</f>
        <v>Home</v>
      </c>
      <c r="I134" s="3" t="str">
        <f>VLOOKUP(D:D,Table3[#All], 4, FALSE)</f>
        <v>India</v>
      </c>
      <c r="J134" s="2">
        <f>VLOOKUP(D:D,Table3[#All], 5, FALSE)</f>
        <v>45161</v>
      </c>
      <c r="K134" s="2" t="str">
        <f>TEXT(Table1[[#This Row],[SIGNUPDATE]], "mmm, yy")</f>
        <v>Aug, 23</v>
      </c>
      <c r="L134" s="3" t="str">
        <f>IFERROR(VLOOKUP(D:D,Customer_info!A:A, 1, FALSE), "Not found")</f>
        <v>CUST058</v>
      </c>
      <c r="M134" s="3"/>
    </row>
    <row r="135" spans="1:13">
      <c r="A135" t="s">
        <v>255</v>
      </c>
      <c r="B135" s="2">
        <v>45401</v>
      </c>
      <c r="C135" s="1" t="str">
        <f t="shared" si="2"/>
        <v>Apr</v>
      </c>
      <c r="D135" t="s">
        <v>75</v>
      </c>
      <c r="E135" t="s">
        <v>121</v>
      </c>
      <c r="F135" s="4">
        <v>5</v>
      </c>
      <c r="G135" s="3">
        <v>435.7</v>
      </c>
      <c r="H135" s="3" t="str">
        <f>VLOOKUP(Sales!E:E, Table2[#All], 3,FALSE)</f>
        <v>Sports</v>
      </c>
      <c r="I135" s="3" t="str">
        <f>VLOOKUP(D:D,Table3[#All], 4, FALSE)</f>
        <v>United Kingdom</v>
      </c>
      <c r="J135" s="2">
        <f>VLOOKUP(D:D,Table3[#All], 5, FALSE)</f>
        <v>45262</v>
      </c>
      <c r="K135" s="2" t="str">
        <f>TEXT(Table1[[#This Row],[SIGNUPDATE]], "mmm, yy")</f>
        <v>Dec, 23</v>
      </c>
      <c r="L135" s="3" t="str">
        <f>IFERROR(VLOOKUP(D:D,Customer_info!A:A, 1, FALSE), "Not found")</f>
        <v>CUST056</v>
      </c>
      <c r="M135" s="3"/>
    </row>
    <row r="136" spans="1:13">
      <c r="A136" t="s">
        <v>256</v>
      </c>
      <c r="B136" s="2">
        <v>45406</v>
      </c>
      <c r="C136" s="1" t="str">
        <f t="shared" si="2"/>
        <v>Apr</v>
      </c>
      <c r="D136" t="s">
        <v>257</v>
      </c>
      <c r="E136" t="s">
        <v>128</v>
      </c>
      <c r="F136" s="4">
        <v>5</v>
      </c>
      <c r="G136" s="3">
        <v>583.35</v>
      </c>
      <c r="H136" s="3" t="str">
        <f>VLOOKUP(Sales!E:E, Table2[#All], 3,FALSE)</f>
        <v>Home</v>
      </c>
      <c r="I136" s="3" t="str">
        <f>VLOOKUP(D:D,Table3[#All], 4, FALSE)</f>
        <v>Canada</v>
      </c>
      <c r="J136" s="2">
        <f>VLOOKUP(D:D,Table3[#All], 5, FALSE)</f>
        <v>45052</v>
      </c>
      <c r="K136" s="2" t="str">
        <f>TEXT(Table1[[#This Row],[SIGNUPDATE]], "mmm, yy")</f>
        <v>May, 23</v>
      </c>
      <c r="L136" s="3" t="str">
        <f>IFERROR(VLOOKUP(D:D,Customer_info!A:A, 1, FALSE), "Not found")</f>
        <v>CUST045</v>
      </c>
      <c r="M136" s="3"/>
    </row>
    <row r="137" spans="1:13">
      <c r="A137" t="s">
        <v>258</v>
      </c>
      <c r="B137" s="2">
        <v>45413</v>
      </c>
      <c r="C137" s="1" t="str">
        <f t="shared" si="2"/>
        <v>May</v>
      </c>
      <c r="D137" t="s">
        <v>112</v>
      </c>
      <c r="E137" t="s">
        <v>259</v>
      </c>
      <c r="F137" s="4">
        <v>2</v>
      </c>
      <c r="G137" s="3">
        <v>391.4</v>
      </c>
      <c r="H137" s="3" t="str">
        <f>VLOOKUP(Sales!E:E, Table2[#All], 3,FALSE)</f>
        <v>Clothing</v>
      </c>
      <c r="I137" s="3" t="str">
        <f>VLOOKUP(D:D,Table3[#All], 4, FALSE)</f>
        <v>India</v>
      </c>
      <c r="J137" s="2">
        <f>VLOOKUP(D:D,Table3[#All], 5, FALSE)</f>
        <v>45093</v>
      </c>
      <c r="K137" s="2" t="str">
        <f>TEXT(Table1[[#This Row],[SIGNUPDATE]], "mmm, yy")</f>
        <v>Jun, 23</v>
      </c>
      <c r="L137" s="3" t="str">
        <f>IFERROR(VLOOKUP(D:D,Customer_info!A:A, 1, FALSE), "Not found")</f>
        <v>CUST050</v>
      </c>
      <c r="M137" s="3"/>
    </row>
    <row r="138" spans="1:13">
      <c r="A138" t="s">
        <v>260</v>
      </c>
      <c r="B138" s="2">
        <v>45358</v>
      </c>
      <c r="C138" s="1" t="str">
        <f t="shared" si="2"/>
        <v>Mar</v>
      </c>
      <c r="D138" t="s">
        <v>181</v>
      </c>
      <c r="E138" t="s">
        <v>113</v>
      </c>
      <c r="F138" s="4">
        <v>4</v>
      </c>
      <c r="G138" s="3">
        <v>908.52</v>
      </c>
      <c r="H138" s="3" t="str">
        <f>VLOOKUP(Sales!E:E, Table2[#All], 3,FALSE)</f>
        <v>Electronics</v>
      </c>
      <c r="I138" s="3" t="str">
        <f>VLOOKUP(D:D,Table3[#All], 4, FALSE)</f>
        <v>Canada</v>
      </c>
      <c r="J138" s="2">
        <f>VLOOKUP(D:D,Table3[#All], 5, FALSE)</f>
        <v>45028</v>
      </c>
      <c r="K138" s="2" t="str">
        <f>TEXT(Table1[[#This Row],[SIGNUPDATE]], "mmm, yy")</f>
        <v>Apr, 23</v>
      </c>
      <c r="L138" s="3" t="str">
        <f>IFERROR(VLOOKUP(D:D,Customer_info!A:A, 1, FALSE), "Not found")</f>
        <v>CUST088</v>
      </c>
      <c r="M138" s="3"/>
    </row>
    <row r="139" spans="1:13">
      <c r="A139" t="s">
        <v>261</v>
      </c>
      <c r="B139" s="2">
        <v>45455</v>
      </c>
      <c r="C139" s="1" t="str">
        <f t="shared" si="2"/>
        <v>Jun</v>
      </c>
      <c r="D139" t="s">
        <v>100</v>
      </c>
      <c r="E139" t="s">
        <v>177</v>
      </c>
      <c r="F139" s="4">
        <v>2</v>
      </c>
      <c r="G139" s="3">
        <v>435.1</v>
      </c>
      <c r="H139" s="3" t="str">
        <f>VLOOKUP(Sales!E:E, Table2[#All], 3,FALSE)</f>
        <v>Home</v>
      </c>
      <c r="I139" s="3" t="str">
        <f>VLOOKUP(D:D,Table3[#All], 4, FALSE)</f>
        <v>US</v>
      </c>
      <c r="J139" s="2">
        <f>VLOOKUP(D:D,Table3[#All], 5, FALSE)</f>
        <v>45149</v>
      </c>
      <c r="K139" s="2" t="str">
        <f>TEXT(Table1[[#This Row],[SIGNUPDATE]], "mmm, yy")</f>
        <v>Aug, 23</v>
      </c>
      <c r="L139" s="3" t="str">
        <f>IFERROR(VLOOKUP(D:D,Customer_info!A:A, 1, FALSE), "Not found")</f>
        <v>CUST081</v>
      </c>
      <c r="M139" s="3"/>
    </row>
    <row r="140" spans="1:13">
      <c r="A140" t="s">
        <v>262</v>
      </c>
      <c r="B140" s="2">
        <v>45425</v>
      </c>
      <c r="C140" s="1" t="str">
        <f t="shared" si="2"/>
        <v>May</v>
      </c>
      <c r="D140" t="s">
        <v>263</v>
      </c>
      <c r="E140" t="s">
        <v>67</v>
      </c>
      <c r="F140" s="4">
        <v>3</v>
      </c>
      <c r="G140" s="3">
        <v>1206.8699999999999</v>
      </c>
      <c r="H140" s="3" t="str">
        <f>VLOOKUP(Sales!E:E, Table2[#All], 3,FALSE)</f>
        <v>Home</v>
      </c>
      <c r="I140" s="3" t="str">
        <f>VLOOKUP(D:D,Table3[#All], 4, FALSE)</f>
        <v>Canada</v>
      </c>
      <c r="J140" s="2">
        <f>VLOOKUP(D:D,Table3[#All], 5, FALSE)</f>
        <v>45179</v>
      </c>
      <c r="K140" s="2" t="str">
        <f>TEXT(Table1[[#This Row],[SIGNUPDATE]], "mmm, yy")</f>
        <v>Sep, 23</v>
      </c>
      <c r="L140" s="3" t="str">
        <f>IFERROR(VLOOKUP(D:D,Customer_info!A:A, 1, FALSE), "Not found")</f>
        <v>CUST067</v>
      </c>
      <c r="M140" s="3"/>
    </row>
    <row r="141" spans="1:13">
      <c r="A141" t="s">
        <v>264</v>
      </c>
      <c r="B141" s="2">
        <v>45452</v>
      </c>
      <c r="C141" s="1" t="str">
        <f t="shared" si="2"/>
        <v>Jun</v>
      </c>
      <c r="D141" t="s">
        <v>149</v>
      </c>
      <c r="E141" t="s">
        <v>230</v>
      </c>
      <c r="F141" s="4">
        <v>4</v>
      </c>
      <c r="G141" s="3">
        <v>974.52</v>
      </c>
      <c r="H141" s="3" t="str">
        <f>VLOOKUP(Sales!E:E, Table2[#All], 3,FALSE)</f>
        <v>Sports</v>
      </c>
      <c r="I141" s="3" t="str">
        <f>VLOOKUP(D:D,Table3[#All], 4, FALSE)</f>
        <v>United Kingdom</v>
      </c>
      <c r="J141" s="2">
        <f>VLOOKUP(D:D,Table3[#All], 5, FALSE)</f>
        <v>45259</v>
      </c>
      <c r="K141" s="2" t="str">
        <f>TEXT(Table1[[#This Row],[SIGNUPDATE]], "mmm, yy")</f>
        <v>Nov, 23</v>
      </c>
      <c r="L141" s="3" t="str">
        <f>IFERROR(VLOOKUP(D:D,Customer_info!A:A, 1, FALSE), "Not found")</f>
        <v>CUST012</v>
      </c>
      <c r="M141" s="3"/>
    </row>
    <row r="142" spans="1:13">
      <c r="A142" t="s">
        <v>265</v>
      </c>
      <c r="B142" s="2">
        <v>45362</v>
      </c>
      <c r="C142" s="1" t="str">
        <f t="shared" si="2"/>
        <v>Mar</v>
      </c>
      <c r="D142" t="s">
        <v>92</v>
      </c>
      <c r="E142" t="s">
        <v>48</v>
      </c>
      <c r="F142" s="4">
        <v>2</v>
      </c>
      <c r="G142" s="3">
        <v>587.6</v>
      </c>
      <c r="H142" s="3" t="str">
        <f>VLOOKUP(Sales!E:E, Table2[#All], 3,FALSE)</f>
        <v>Electronics</v>
      </c>
      <c r="I142" s="3" t="str">
        <f>VLOOKUP(D:D,Table3[#All], 4, FALSE)</f>
        <v>United States</v>
      </c>
      <c r="J142" s="2">
        <f>VLOOKUP(D:D,Table3[#All], 5, FALSE)</f>
        <v>45122</v>
      </c>
      <c r="K142" s="2" t="str">
        <f>TEXT(Table1[[#This Row],[SIGNUPDATE]], "mmm, yy")</f>
        <v>Jul, 23</v>
      </c>
      <c r="L142" s="3" t="str">
        <f>IFERROR(VLOOKUP(D:D,Customer_info!A:A, 1, FALSE), "Not found")</f>
        <v>CUST073</v>
      </c>
      <c r="M142" s="3"/>
    </row>
    <row r="143" spans="1:13">
      <c r="A143" t="s">
        <v>266</v>
      </c>
      <c r="B143" s="2">
        <v>45311</v>
      </c>
      <c r="C143" s="1" t="str">
        <f t="shared" si="2"/>
        <v>Jan</v>
      </c>
      <c r="D143" t="s">
        <v>221</v>
      </c>
      <c r="E143" t="s">
        <v>27</v>
      </c>
      <c r="F143" s="4">
        <v>4</v>
      </c>
      <c r="G143" s="3">
        <v>1808.8</v>
      </c>
      <c r="H143" s="3" t="str">
        <f>VLOOKUP(Sales!E:E, Table2[#All], 3,FALSE)</f>
        <v>Beauty</v>
      </c>
      <c r="I143" s="3" t="str">
        <f>VLOOKUP(D:D,Table3[#All], 4, FALSE)</f>
        <v>India</v>
      </c>
      <c r="J143" s="2">
        <f>VLOOKUP(D:D,Table3[#All], 5, FALSE)</f>
        <v>45280</v>
      </c>
      <c r="K143" s="2" t="str">
        <f>TEXT(Table1[[#This Row],[SIGNUPDATE]], "mmm, yy")</f>
        <v>Dec, 23</v>
      </c>
      <c r="L143" s="3" t="str">
        <f>IFERROR(VLOOKUP(D:D,Customer_info!A:A, 1, FALSE), "Not found")</f>
        <v>CUST106</v>
      </c>
      <c r="M143" s="3"/>
    </row>
    <row r="144" spans="1:13">
      <c r="A144" t="s">
        <v>267</v>
      </c>
      <c r="B144" s="2">
        <v>45352</v>
      </c>
      <c r="C144" s="1" t="str">
        <f t="shared" si="2"/>
        <v>Mar</v>
      </c>
      <c r="D144" t="s">
        <v>268</v>
      </c>
      <c r="E144" t="s">
        <v>13</v>
      </c>
      <c r="F144" s="4">
        <v>3</v>
      </c>
      <c r="G144" s="3">
        <v>710.07</v>
      </c>
      <c r="H144" s="3" t="str">
        <f>VLOOKUP(Sales!E:E, Table2[#All], 3,FALSE)</f>
        <v>Home</v>
      </c>
      <c r="I144" s="3" t="str">
        <f>VLOOKUP(D:D,Table3[#All], 4, FALSE)</f>
        <v>United Kingdom</v>
      </c>
      <c r="J144" s="2">
        <f>VLOOKUP(D:D,Table3[#All], 5, FALSE)</f>
        <v>45099</v>
      </c>
      <c r="K144" s="2" t="str">
        <f>TEXT(Table1[[#This Row],[SIGNUPDATE]], "mmm, yy")</f>
        <v>Jun, 23</v>
      </c>
      <c r="L144" s="3" t="str">
        <f>IFERROR(VLOOKUP(D:D,Customer_info!A:A, 1, FALSE), "Not found")</f>
        <v>CUST020</v>
      </c>
      <c r="M144" s="3"/>
    </row>
    <row r="145" spans="1:13">
      <c r="A145" t="s">
        <v>269</v>
      </c>
      <c r="B145" s="2">
        <v>45377</v>
      </c>
      <c r="C145" s="1" t="str">
        <f t="shared" si="2"/>
        <v>Mar</v>
      </c>
      <c r="D145" t="s">
        <v>138</v>
      </c>
      <c r="E145" t="s">
        <v>145</v>
      </c>
      <c r="F145" s="4">
        <v>3</v>
      </c>
      <c r="G145" s="3">
        <v>998.7</v>
      </c>
      <c r="H145" s="3" t="str">
        <f>VLOOKUP(Sales!E:E, Table2[#All], 3,FALSE)</f>
        <v>Electronics</v>
      </c>
      <c r="I145" s="3" t="str">
        <f>VLOOKUP(D:D,Table3[#All], 4, FALSE)</f>
        <v>US</v>
      </c>
      <c r="J145" s="2">
        <f>VLOOKUP(D:D,Table3[#All], 5, FALSE)</f>
        <v>45222</v>
      </c>
      <c r="K145" s="2" t="str">
        <f>TEXT(Table1[[#This Row],[SIGNUPDATE]], "mmm, yy")</f>
        <v>Oct, 23</v>
      </c>
      <c r="L145" s="3" t="str">
        <f>IFERROR(VLOOKUP(D:D,Customer_info!A:A, 1, FALSE), "Not found")</f>
        <v>CUST030</v>
      </c>
      <c r="M145" s="3"/>
    </row>
    <row r="146" spans="1:13">
      <c r="A146" t="s">
        <v>270</v>
      </c>
      <c r="B146" s="2">
        <v>45430</v>
      </c>
      <c r="C146" s="1" t="str">
        <f t="shared" si="2"/>
        <v>May</v>
      </c>
      <c r="D146" t="s">
        <v>242</v>
      </c>
      <c r="E146" t="s">
        <v>145</v>
      </c>
      <c r="F146" s="4">
        <v>3</v>
      </c>
      <c r="G146" s="3">
        <v>998.7</v>
      </c>
      <c r="H146" s="3" t="str">
        <f>VLOOKUP(Sales!E:E, Table2[#All], 3,FALSE)</f>
        <v>Electronics</v>
      </c>
      <c r="I146" s="3" t="str">
        <f>VLOOKUP(D:D,Table3[#All], 4, FALSE)</f>
        <v>India</v>
      </c>
      <c r="J146" s="2">
        <f>VLOOKUP(D:D,Table3[#All], 5, FALSE)</f>
        <v>45243</v>
      </c>
      <c r="K146" s="2" t="str">
        <f>TEXT(Table1[[#This Row],[SIGNUPDATE]], "mmm, yy")</f>
        <v>Nov, 23</v>
      </c>
      <c r="L146" s="3" t="str">
        <f>IFERROR(VLOOKUP(D:D,Customer_info!A:A, 1, FALSE), "Not found")</f>
        <v>CUST029</v>
      </c>
      <c r="M146" s="3"/>
    </row>
    <row r="147" spans="1:13">
      <c r="A147" t="s">
        <v>271</v>
      </c>
      <c r="B147" s="2">
        <v>45327</v>
      </c>
      <c r="C147" s="1" t="str">
        <f t="shared" si="2"/>
        <v>Feb</v>
      </c>
      <c r="D147" t="s">
        <v>263</v>
      </c>
      <c r="E147" t="s">
        <v>195</v>
      </c>
      <c r="F147" s="4">
        <v>1</v>
      </c>
      <c r="G147" s="3">
        <v>245.87</v>
      </c>
      <c r="H147" s="3" t="str">
        <f>VLOOKUP(Sales!E:E, Table2[#All], 3,FALSE)</f>
        <v>Beauty</v>
      </c>
      <c r="I147" s="3" t="str">
        <f>VLOOKUP(D:D,Table3[#All], 4, FALSE)</f>
        <v>Canada</v>
      </c>
      <c r="J147" s="2">
        <f>VLOOKUP(D:D,Table3[#All], 5, FALSE)</f>
        <v>45179</v>
      </c>
      <c r="K147" s="2" t="str">
        <f>TEXT(Table1[[#This Row],[SIGNUPDATE]], "mmm, yy")</f>
        <v>Sep, 23</v>
      </c>
      <c r="L147" s="3" t="str">
        <f>IFERROR(VLOOKUP(D:D,Customer_info!A:A, 1, FALSE), "Not found")</f>
        <v>CUST067</v>
      </c>
      <c r="M147" s="3"/>
    </row>
    <row r="148" spans="1:13">
      <c r="A148" t="s">
        <v>272</v>
      </c>
      <c r="B148" s="2">
        <v>45351</v>
      </c>
      <c r="C148" s="1" t="str">
        <f t="shared" si="2"/>
        <v>Feb</v>
      </c>
      <c r="D148" t="s">
        <v>142</v>
      </c>
      <c r="E148" t="s">
        <v>230</v>
      </c>
      <c r="F148" s="4">
        <v>2</v>
      </c>
      <c r="G148" s="3">
        <v>487.26</v>
      </c>
      <c r="H148" s="3" t="str">
        <f>VLOOKUP(Sales!E:E, Table2[#All], 3,FALSE)</f>
        <v>Sports</v>
      </c>
      <c r="I148" s="3" t="str">
        <f>VLOOKUP(D:D,Table3[#All], 4, FALSE)</f>
        <v>Canada</v>
      </c>
      <c r="J148" s="2">
        <f>VLOOKUP(D:D,Table3[#All], 5, FALSE)</f>
        <v>45055</v>
      </c>
      <c r="K148" s="2" t="str">
        <f>TEXT(Table1[[#This Row],[SIGNUPDATE]], "mmm, yy")</f>
        <v>May, 23</v>
      </c>
      <c r="L148" s="3" t="str">
        <f>IFERROR(VLOOKUP(D:D,Customer_info!A:A, 1, FALSE), "Not found")</f>
        <v>CUST075</v>
      </c>
      <c r="M148" s="3"/>
    </row>
    <row r="149" spans="1:13">
      <c r="A149" t="s">
        <v>273</v>
      </c>
      <c r="B149" s="2">
        <v>45469</v>
      </c>
      <c r="C149" s="1" t="str">
        <f t="shared" si="2"/>
        <v>Jun</v>
      </c>
      <c r="D149" t="s">
        <v>221</v>
      </c>
      <c r="E149" t="s">
        <v>131</v>
      </c>
      <c r="F149" s="4">
        <v>4</v>
      </c>
      <c r="G149" s="3">
        <v>1351.2</v>
      </c>
      <c r="H149" s="3" t="str">
        <f>VLOOKUP(Sales!E:E, Table2[#All], 3,FALSE)</f>
        <v>Home</v>
      </c>
      <c r="I149" s="3" t="str">
        <f>VLOOKUP(D:D,Table3[#All], 4, FALSE)</f>
        <v>India</v>
      </c>
      <c r="J149" s="2">
        <f>VLOOKUP(D:D,Table3[#All], 5, FALSE)</f>
        <v>45280</v>
      </c>
      <c r="K149" s="2" t="str">
        <f>TEXT(Table1[[#This Row],[SIGNUPDATE]], "mmm, yy")</f>
        <v>Dec, 23</v>
      </c>
      <c r="L149" s="3" t="str">
        <f>IFERROR(VLOOKUP(D:D,Customer_info!A:A, 1, FALSE), "Not found")</f>
        <v>CUST106</v>
      </c>
      <c r="M149" s="3"/>
    </row>
    <row r="150" spans="1:13">
      <c r="A150" t="s">
        <v>274</v>
      </c>
      <c r="B150" s="2">
        <v>45472</v>
      </c>
      <c r="C150" s="1" t="str">
        <f t="shared" si="2"/>
        <v>Jun</v>
      </c>
      <c r="D150" t="s">
        <v>73</v>
      </c>
      <c r="E150" t="s">
        <v>131</v>
      </c>
      <c r="F150" s="4">
        <v>2</v>
      </c>
      <c r="G150" s="3">
        <v>675.6</v>
      </c>
      <c r="H150" s="3" t="str">
        <f>VLOOKUP(Sales!E:E, Table2[#All], 3,FALSE)</f>
        <v>Home</v>
      </c>
      <c r="I150" s="3" t="str">
        <f>VLOOKUP(D:D,Table3[#All], 4, FALSE)</f>
        <v>India</v>
      </c>
      <c r="J150" s="2">
        <f>VLOOKUP(D:D,Table3[#All], 5, FALSE)</f>
        <v>44984</v>
      </c>
      <c r="K150" s="2" t="str">
        <f>TEXT(Table1[[#This Row],[SIGNUPDATE]], "mmm, yy")</f>
        <v>Feb, 23</v>
      </c>
      <c r="L150" s="3" t="str">
        <f>IFERROR(VLOOKUP(D:D,Customer_info!A:A, 1, FALSE), "Not found")</f>
        <v>CUST001</v>
      </c>
      <c r="M150" s="3"/>
    </row>
    <row r="151" spans="1:13">
      <c r="A151" t="s">
        <v>275</v>
      </c>
      <c r="B151" s="2">
        <v>45308</v>
      </c>
      <c r="C151" s="1" t="str">
        <f t="shared" si="2"/>
        <v>Jan</v>
      </c>
      <c r="D151" t="s">
        <v>115</v>
      </c>
      <c r="E151" t="s">
        <v>16</v>
      </c>
      <c r="F151" s="4">
        <v>2</v>
      </c>
      <c r="G151" s="3">
        <v>788.92</v>
      </c>
      <c r="H151" s="3" t="str">
        <f>VLOOKUP(Sales!E:E, Table2[#All], 3,FALSE)</f>
        <v>Clothing</v>
      </c>
      <c r="I151" s="3" t="str">
        <f>VLOOKUP(D:D,Table3[#All], 4, FALSE)</f>
        <v>United Kingdom</v>
      </c>
      <c r="J151" s="2">
        <f>VLOOKUP(D:D,Table3[#All], 5, FALSE)</f>
        <v>45228</v>
      </c>
      <c r="K151" s="2" t="str">
        <f>TEXT(Table1[[#This Row],[SIGNUPDATE]], "mmm, yy")</f>
        <v>Oct, 23</v>
      </c>
      <c r="L151" s="3" t="str">
        <f>IFERROR(VLOOKUP(D:D,Customer_info!A:A, 1, FALSE), "Not found")</f>
        <v>CUST116</v>
      </c>
      <c r="M151" s="3"/>
    </row>
    <row r="152" spans="1:13">
      <c r="A152" t="s">
        <v>276</v>
      </c>
      <c r="B152" s="2">
        <v>45396</v>
      </c>
      <c r="C152" s="1" t="str">
        <f t="shared" si="2"/>
        <v>Apr</v>
      </c>
      <c r="D152" t="s">
        <v>277</v>
      </c>
      <c r="E152" t="s">
        <v>80</v>
      </c>
      <c r="F152" s="4">
        <v>4</v>
      </c>
      <c r="G152" s="3">
        <v>1733.12</v>
      </c>
      <c r="H152" s="3" t="str">
        <f>VLOOKUP(Sales!E:E, Table2[#All], 3,FALSE)</f>
        <v>Beauty</v>
      </c>
      <c r="I152" s="3" t="str">
        <f>VLOOKUP(D:D,Table3[#All], 4, FALSE)</f>
        <v>Canada</v>
      </c>
      <c r="J152" s="2">
        <f>VLOOKUP(D:D,Table3[#All], 5, FALSE)</f>
        <v>44932</v>
      </c>
      <c r="K152" s="2" t="str">
        <f>TEXT(Table1[[#This Row],[SIGNUPDATE]], "mmm, yy")</f>
        <v>Jan, 23</v>
      </c>
      <c r="L152" s="3" t="str">
        <f>IFERROR(VLOOKUP(D:D,Customer_info!A:A, 1, FALSE), "Not found")</f>
        <v>CUST076</v>
      </c>
      <c r="M152" s="3"/>
    </row>
    <row r="153" spans="1:13">
      <c r="A153" t="s">
        <v>278</v>
      </c>
      <c r="B153" s="2">
        <v>45430</v>
      </c>
      <c r="C153" s="1" t="str">
        <f t="shared" si="2"/>
        <v>May</v>
      </c>
      <c r="D153" t="s">
        <v>279</v>
      </c>
      <c r="E153" t="s">
        <v>102</v>
      </c>
      <c r="F153" s="4">
        <v>3</v>
      </c>
      <c r="G153" s="3">
        <v>419.85</v>
      </c>
      <c r="H153" s="3" t="str">
        <f>VLOOKUP(Sales!E:E, Table2[#All], 3,FALSE)</f>
        <v>Beauty</v>
      </c>
      <c r="I153" s="3" t="str">
        <f>VLOOKUP(D:D,Table3[#All], 4, FALSE)</f>
        <v>UK</v>
      </c>
      <c r="J153" s="2">
        <f>VLOOKUP(D:D,Table3[#All], 5, FALSE)</f>
        <v>45214</v>
      </c>
      <c r="K153" s="2" t="str">
        <f>TEXT(Table1[[#This Row],[SIGNUPDATE]], "mmm, yy")</f>
        <v>Oct, 23</v>
      </c>
      <c r="L153" s="3" t="str">
        <f>IFERROR(VLOOKUP(D:D,Customer_info!A:A, 1, FALSE), "Not found")</f>
        <v>CUST011</v>
      </c>
      <c r="M153" s="3"/>
    </row>
    <row r="154" spans="1:13">
      <c r="A154" t="s">
        <v>280</v>
      </c>
      <c r="B154" s="2">
        <v>45398</v>
      </c>
      <c r="C154" s="1" t="str">
        <f t="shared" si="2"/>
        <v>Apr</v>
      </c>
      <c r="D154" t="s">
        <v>29</v>
      </c>
      <c r="E154" t="s">
        <v>107</v>
      </c>
      <c r="F154" s="4">
        <v>4</v>
      </c>
      <c r="G154" s="3">
        <v>197</v>
      </c>
      <c r="H154" s="3" t="str">
        <f>VLOOKUP(Sales!E:E, Table2[#All], 3,FALSE)</f>
        <v>Sports</v>
      </c>
      <c r="I154" s="3" t="str">
        <f>VLOOKUP(D:D,Table3[#All], 4, FALSE)</f>
        <v>UK</v>
      </c>
      <c r="J154" s="2">
        <f>VLOOKUP(D:D,Table3[#All], 5, FALSE)</f>
        <v>45229</v>
      </c>
      <c r="K154" s="2" t="str">
        <f>TEXT(Table1[[#This Row],[SIGNUPDATE]], "mmm, yy")</f>
        <v>Oct, 23</v>
      </c>
      <c r="L154" s="3" t="str">
        <f>IFERROR(VLOOKUP(D:D,Customer_info!A:A, 1, FALSE), "Not found")</f>
        <v>CUST006</v>
      </c>
      <c r="M154" s="3"/>
    </row>
    <row r="155" spans="1:13">
      <c r="A155" t="s">
        <v>281</v>
      </c>
      <c r="B155" s="2">
        <v>45344</v>
      </c>
      <c r="C155" s="1" t="str">
        <f t="shared" si="2"/>
        <v>Feb</v>
      </c>
      <c r="D155" t="s">
        <v>282</v>
      </c>
      <c r="E155" t="s">
        <v>54</v>
      </c>
      <c r="F155" s="4">
        <v>1</v>
      </c>
      <c r="G155" s="3">
        <v>130.65</v>
      </c>
      <c r="H155" s="3" t="str">
        <f>VLOOKUP(Sales!E:E, Table2[#All], 3,FALSE)</f>
        <v>Sports</v>
      </c>
      <c r="I155" s="3" t="str">
        <f>VLOOKUP(D:D,Table3[#All], 4, FALSE)</f>
        <v>US</v>
      </c>
      <c r="J155" s="2">
        <f>VLOOKUP(D:D,Table3[#All], 5, FALSE)</f>
        <v>45006</v>
      </c>
      <c r="K155" s="2" t="str">
        <f>TEXT(Table1[[#This Row],[SIGNUPDATE]], "mmm, yy")</f>
        <v>Mar, 23</v>
      </c>
      <c r="L155" s="3" t="str">
        <f>IFERROR(VLOOKUP(D:D,Customer_info!A:A, 1, FALSE), "Not found")</f>
        <v>CUST019</v>
      </c>
      <c r="M155" s="3"/>
    </row>
    <row r="156" spans="1:13">
      <c r="A156" t="s">
        <v>283</v>
      </c>
      <c r="B156" s="2">
        <v>45391</v>
      </c>
      <c r="C156" s="1" t="str">
        <f t="shared" si="2"/>
        <v>Apr</v>
      </c>
      <c r="D156" t="s">
        <v>96</v>
      </c>
      <c r="E156" t="s">
        <v>25</v>
      </c>
      <c r="F156" s="4">
        <v>4</v>
      </c>
      <c r="G156" s="3">
        <v>599.08000000000004</v>
      </c>
      <c r="H156" s="3" t="str">
        <f>VLOOKUP(Sales!E:E, Table2[#All], 3,FALSE)</f>
        <v>Beauty</v>
      </c>
      <c r="I156" s="3" t="str">
        <f>VLOOKUP(D:D,Table3[#All], 4, FALSE)</f>
        <v>United States</v>
      </c>
      <c r="J156" s="2">
        <f>VLOOKUP(D:D,Table3[#All], 5, FALSE)</f>
        <v>45039</v>
      </c>
      <c r="K156" s="2" t="str">
        <f>TEXT(Table1[[#This Row],[SIGNUPDATE]], "mmm, yy")</f>
        <v>Apr, 23</v>
      </c>
      <c r="L156" s="3" t="str">
        <f>IFERROR(VLOOKUP(D:D,Customer_info!A:A, 1, FALSE), "Not found")</f>
        <v>CUST014</v>
      </c>
      <c r="M156" s="3"/>
    </row>
    <row r="157" spans="1:13">
      <c r="A157" t="s">
        <v>284</v>
      </c>
      <c r="B157" s="2">
        <v>45470</v>
      </c>
      <c r="C157" s="1" t="str">
        <f t="shared" si="2"/>
        <v>Jun</v>
      </c>
      <c r="D157" t="s">
        <v>201</v>
      </c>
      <c r="E157" t="s">
        <v>164</v>
      </c>
      <c r="F157" s="4">
        <v>5</v>
      </c>
      <c r="G157" s="3">
        <v>1309.7</v>
      </c>
      <c r="H157" s="3" t="str">
        <f>VLOOKUP(Sales!E:E, Table2[#All], 3,FALSE)</f>
        <v>Electronics</v>
      </c>
      <c r="I157" s="3" t="str">
        <f>VLOOKUP(D:D,Table3[#All], 4, FALSE)</f>
        <v>India</v>
      </c>
      <c r="J157" s="2">
        <f>VLOOKUP(D:D,Table3[#All], 5, FALSE)</f>
        <v>45279</v>
      </c>
      <c r="K157" s="2" t="str">
        <f>TEXT(Table1[[#This Row],[SIGNUPDATE]], "mmm, yy")</f>
        <v>Dec, 23</v>
      </c>
      <c r="L157" s="3" t="str">
        <f>IFERROR(VLOOKUP(D:D,Customer_info!A:A, 1, FALSE), "Not found")</f>
        <v>CUST048</v>
      </c>
      <c r="M157" s="3"/>
    </row>
    <row r="158" spans="1:13">
      <c r="A158" t="s">
        <v>285</v>
      </c>
      <c r="B158" s="2">
        <v>45439</v>
      </c>
      <c r="C158" s="1" t="str">
        <f t="shared" si="2"/>
        <v>May</v>
      </c>
      <c r="D158" t="s">
        <v>29</v>
      </c>
      <c r="E158" t="s">
        <v>62</v>
      </c>
      <c r="F158" s="4">
        <v>1</v>
      </c>
      <c r="G158" s="3">
        <v>57.98</v>
      </c>
      <c r="H158" s="3" t="str">
        <f>VLOOKUP(Sales!E:E, Table2[#All], 3,FALSE)</f>
        <v>Sports</v>
      </c>
      <c r="I158" s="3" t="str">
        <f>VLOOKUP(D:D,Table3[#All], 4, FALSE)</f>
        <v>UK</v>
      </c>
      <c r="J158" s="2">
        <f>VLOOKUP(D:D,Table3[#All], 5, FALSE)</f>
        <v>45229</v>
      </c>
      <c r="K158" s="2" t="str">
        <f>TEXT(Table1[[#This Row],[SIGNUPDATE]], "mmm, yy")</f>
        <v>Oct, 23</v>
      </c>
      <c r="L158" s="3" t="str">
        <f>IFERROR(VLOOKUP(D:D,Customer_info!A:A, 1, FALSE), "Not found")</f>
        <v>CUST006</v>
      </c>
      <c r="M158" s="3"/>
    </row>
    <row r="159" spans="1:13">
      <c r="A159" t="s">
        <v>286</v>
      </c>
      <c r="B159" s="2">
        <v>45414</v>
      </c>
      <c r="C159" s="1" t="str">
        <f t="shared" si="2"/>
        <v>May</v>
      </c>
      <c r="D159" t="s">
        <v>130</v>
      </c>
      <c r="E159" t="s">
        <v>40</v>
      </c>
      <c r="F159" s="4">
        <v>4</v>
      </c>
      <c r="G159" s="3">
        <v>152.04</v>
      </c>
      <c r="H159" s="3" t="str">
        <f>VLOOKUP(Sales!E:E, Table2[#All], 3,FALSE)</f>
        <v>Home</v>
      </c>
      <c r="I159" s="3" t="str">
        <f>VLOOKUP(D:D,Table3[#All], 4, FALSE)</f>
        <v>Canada</v>
      </c>
      <c r="J159" s="2">
        <f>VLOOKUP(D:D,Table3[#All], 5, FALSE)</f>
        <v>45018</v>
      </c>
      <c r="K159" s="2" t="str">
        <f>TEXT(Table1[[#This Row],[SIGNUPDATE]], "mmm, yy")</f>
        <v>Apr, 23</v>
      </c>
      <c r="L159" s="3" t="str">
        <f>IFERROR(VLOOKUP(D:D,Customer_info!A:A, 1, FALSE), "Not found")</f>
        <v>CUST084</v>
      </c>
      <c r="M159" s="3"/>
    </row>
    <row r="160" spans="1:13">
      <c r="A160" t="s">
        <v>287</v>
      </c>
      <c r="B160" s="2">
        <v>45382</v>
      </c>
      <c r="C160" s="1" t="str">
        <f t="shared" si="2"/>
        <v>Mar</v>
      </c>
      <c r="D160" t="s">
        <v>288</v>
      </c>
      <c r="E160" t="s">
        <v>164</v>
      </c>
      <c r="F160" s="4">
        <v>1</v>
      </c>
      <c r="G160" s="3">
        <v>261.94</v>
      </c>
      <c r="H160" s="3" t="str">
        <f>VLOOKUP(Sales!E:E, Table2[#All], 3,FALSE)</f>
        <v>Electronics</v>
      </c>
      <c r="I160" s="3" t="str">
        <f>VLOOKUP(D:D,Table3[#All], 4, FALSE)</f>
        <v>Canada</v>
      </c>
      <c r="J160" s="2">
        <f>VLOOKUP(D:D,Table3[#All], 5, FALSE)</f>
        <v>44959</v>
      </c>
      <c r="K160" s="2" t="str">
        <f>TEXT(Table1[[#This Row],[SIGNUPDATE]], "mmm, yy")</f>
        <v>Feb, 23</v>
      </c>
      <c r="L160" s="3" t="str">
        <f>IFERROR(VLOOKUP(D:D,Customer_info!A:A, 1, FALSE), "Not found")</f>
        <v>CUST072</v>
      </c>
      <c r="M160" s="3"/>
    </row>
    <row r="161" spans="1:13">
      <c r="A161" t="s">
        <v>289</v>
      </c>
      <c r="B161" s="2">
        <v>45391</v>
      </c>
      <c r="C161" s="1" t="str">
        <f t="shared" si="2"/>
        <v>Apr</v>
      </c>
      <c r="D161" t="s">
        <v>237</v>
      </c>
      <c r="E161" t="s">
        <v>62</v>
      </c>
      <c r="F161" s="4">
        <v>3</v>
      </c>
      <c r="G161" s="3">
        <v>173.94</v>
      </c>
      <c r="H161" s="3" t="str">
        <f>VLOOKUP(Sales!E:E, Table2[#All], 3,FALSE)</f>
        <v>Sports</v>
      </c>
      <c r="I161" s="3" t="str">
        <f>VLOOKUP(D:D,Table3[#All], 4, FALSE)</f>
        <v>United Kingdom</v>
      </c>
      <c r="J161" s="2">
        <f>VLOOKUP(D:D,Table3[#All], 5, FALSE)</f>
        <v>45203</v>
      </c>
      <c r="K161" s="2" t="str">
        <f>TEXT(Table1[[#This Row],[SIGNUPDATE]], "mmm, yy")</f>
        <v>Oct, 23</v>
      </c>
      <c r="L161" s="3" t="str">
        <f>IFERROR(VLOOKUP(D:D,Customer_info!A:A, 1, FALSE), "Not found")</f>
        <v>CUST105</v>
      </c>
      <c r="M161" s="3"/>
    </row>
    <row r="162" spans="1:13">
      <c r="A162" t="s">
        <v>290</v>
      </c>
      <c r="B162" s="2">
        <v>45429</v>
      </c>
      <c r="C162" s="1" t="str">
        <f t="shared" si="2"/>
        <v>May</v>
      </c>
      <c r="D162" t="s">
        <v>201</v>
      </c>
      <c r="E162" t="s">
        <v>121</v>
      </c>
      <c r="F162" s="4">
        <v>4</v>
      </c>
      <c r="G162" s="3">
        <v>348.56</v>
      </c>
      <c r="H162" s="3" t="str">
        <f>VLOOKUP(Sales!E:E, Table2[#All], 3,FALSE)</f>
        <v>Sports</v>
      </c>
      <c r="I162" s="3" t="str">
        <f>VLOOKUP(D:D,Table3[#All], 4, FALSE)</f>
        <v>India</v>
      </c>
      <c r="J162" s="2">
        <f>VLOOKUP(D:D,Table3[#All], 5, FALSE)</f>
        <v>45279</v>
      </c>
      <c r="K162" s="2" t="str">
        <f>TEXT(Table1[[#This Row],[SIGNUPDATE]], "mmm, yy")</f>
        <v>Dec, 23</v>
      </c>
      <c r="L162" s="3" t="str">
        <f>IFERROR(VLOOKUP(D:D,Customer_info!A:A, 1, FALSE), "Not found")</f>
        <v>CUST048</v>
      </c>
      <c r="M162" s="3"/>
    </row>
    <row r="163" spans="1:13">
      <c r="A163" t="s">
        <v>291</v>
      </c>
      <c r="B163" s="2">
        <v>45446</v>
      </c>
      <c r="C163" s="1" t="str">
        <f t="shared" si="2"/>
        <v>Jun</v>
      </c>
      <c r="D163" t="s">
        <v>18</v>
      </c>
      <c r="E163" t="s">
        <v>67</v>
      </c>
      <c r="F163" s="4">
        <v>5</v>
      </c>
      <c r="G163" s="3">
        <v>2011.45</v>
      </c>
      <c r="H163" s="3" t="str">
        <f>VLOOKUP(Sales!E:E, Table2[#All], 3,FALSE)</f>
        <v>Home</v>
      </c>
      <c r="I163" s="3" t="str">
        <f>VLOOKUP(D:D,Table3[#All], 4, FALSE)</f>
        <v>United States</v>
      </c>
      <c r="J163" s="2">
        <f>VLOOKUP(D:D,Table3[#All], 5, FALSE)</f>
        <v>45101</v>
      </c>
      <c r="K163" s="2" t="str">
        <f>TEXT(Table1[[#This Row],[SIGNUPDATE]], "mmm, yy")</f>
        <v>Jun, 23</v>
      </c>
      <c r="L163" s="3" t="str">
        <f>IFERROR(VLOOKUP(D:D,Customer_info!A:A, 1, FALSE), "Not found")</f>
        <v>CUST018</v>
      </c>
      <c r="M163" s="3"/>
    </row>
    <row r="164" spans="1:13">
      <c r="A164" t="s">
        <v>292</v>
      </c>
      <c r="B164" s="2">
        <v>45416</v>
      </c>
      <c r="C164" s="1" t="str">
        <f t="shared" si="2"/>
        <v>May</v>
      </c>
      <c r="D164" t="s">
        <v>110</v>
      </c>
      <c r="E164" t="s">
        <v>128</v>
      </c>
      <c r="F164" s="4">
        <v>2</v>
      </c>
      <c r="G164" s="3">
        <v>233.34</v>
      </c>
      <c r="H164" s="3" t="str">
        <f>VLOOKUP(Sales!E:E, Table2[#All], 3,FALSE)</f>
        <v>Home</v>
      </c>
      <c r="I164" s="3" t="str">
        <f>VLOOKUP(D:D,Table3[#All], 4, FALSE)</f>
        <v>United Kingdom</v>
      </c>
      <c r="J164" s="2">
        <f>VLOOKUP(D:D,Table3[#All], 5, FALSE)</f>
        <v>45062</v>
      </c>
      <c r="K164" s="2" t="str">
        <f>TEXT(Table1[[#This Row],[SIGNUPDATE]], "mmm, yy")</f>
        <v>May, 23</v>
      </c>
      <c r="L164" s="3" t="str">
        <f>IFERROR(VLOOKUP(D:D,Customer_info!A:A, 1, FALSE), "Not found")</f>
        <v>CUST059</v>
      </c>
      <c r="M164" s="3"/>
    </row>
    <row r="165" spans="1:13">
      <c r="A165" t="s">
        <v>293</v>
      </c>
      <c r="B165" s="2">
        <v>45361</v>
      </c>
      <c r="C165" s="1" t="str">
        <f t="shared" si="2"/>
        <v>Mar</v>
      </c>
      <c r="D165" t="s">
        <v>294</v>
      </c>
      <c r="E165" t="s">
        <v>51</v>
      </c>
      <c r="F165" s="4">
        <v>2</v>
      </c>
      <c r="G165" s="3">
        <v>171.7</v>
      </c>
      <c r="H165" s="3" t="str">
        <f>VLOOKUP(Sales!E:E, Table2[#All], 3,FALSE)</f>
        <v>Beauty</v>
      </c>
      <c r="I165" s="3" t="str">
        <f>VLOOKUP(D:D,Table3[#All], 4, FALSE)</f>
        <v>US</v>
      </c>
      <c r="J165" s="2">
        <f>VLOOKUP(D:D,Table3[#All], 5, FALSE)</f>
        <v>44930</v>
      </c>
      <c r="K165" s="2" t="str">
        <f>TEXT(Table1[[#This Row],[SIGNUPDATE]], "mmm, yy")</f>
        <v>Jan, 23</v>
      </c>
      <c r="L165" s="3" t="str">
        <f>IFERROR(VLOOKUP(D:D,Customer_info!A:A, 1, FALSE), "Not found")</f>
        <v>CUST016</v>
      </c>
      <c r="M165" s="3"/>
    </row>
    <row r="166" spans="1:13">
      <c r="A166" t="s">
        <v>295</v>
      </c>
      <c r="B166" s="2">
        <v>45416</v>
      </c>
      <c r="C166" s="1" t="str">
        <f t="shared" si="2"/>
        <v>May</v>
      </c>
      <c r="D166" t="s">
        <v>296</v>
      </c>
      <c r="E166" t="s">
        <v>37</v>
      </c>
      <c r="F166" s="4">
        <v>4</v>
      </c>
      <c r="G166" s="3">
        <v>1337.28</v>
      </c>
      <c r="H166" s="3" t="str">
        <f>VLOOKUP(Sales!E:E, Table2[#All], 3,FALSE)</f>
        <v>Sports</v>
      </c>
      <c r="I166" s="3" t="str">
        <f>VLOOKUP(D:D,Table3[#All], 4, FALSE)</f>
        <v>UK</v>
      </c>
      <c r="J166" s="2">
        <f>VLOOKUP(D:D,Table3[#All], 5, FALSE)</f>
        <v>45053</v>
      </c>
      <c r="K166" s="2" t="str">
        <f>TEXT(Table1[[#This Row],[SIGNUPDATE]], "mmm, yy")</f>
        <v>May, 23</v>
      </c>
      <c r="L166" s="3" t="str">
        <f>IFERROR(VLOOKUP(D:D,Customer_info!A:A, 1, FALSE), "Not found")</f>
        <v>CUST112</v>
      </c>
      <c r="M166" s="3"/>
    </row>
    <row r="167" spans="1:13">
      <c r="A167" t="s">
        <v>297</v>
      </c>
      <c r="B167" s="2">
        <v>45391</v>
      </c>
      <c r="C167" s="1" t="str">
        <f t="shared" si="2"/>
        <v>Apr</v>
      </c>
      <c r="D167" t="s">
        <v>298</v>
      </c>
      <c r="E167" t="s">
        <v>43</v>
      </c>
      <c r="F167" s="4">
        <v>1</v>
      </c>
      <c r="G167" s="3">
        <v>272.77999999999997</v>
      </c>
      <c r="H167" s="3" t="str">
        <f>VLOOKUP(Sales!E:E, Table2[#All], 3,FALSE)</f>
        <v>Clothing</v>
      </c>
      <c r="I167" s="3" t="str">
        <f>VLOOKUP(D:D,Table3[#All], 4, FALSE)</f>
        <v>United Kingdom</v>
      </c>
      <c r="J167" s="2">
        <f>VLOOKUP(D:D,Table3[#All], 5, FALSE)</f>
        <v>44961</v>
      </c>
      <c r="K167" s="2" t="str">
        <f>TEXT(Table1[[#This Row],[SIGNUPDATE]], "mmm, yy")</f>
        <v>Feb, 23</v>
      </c>
      <c r="L167" s="3" t="str">
        <f>IFERROR(VLOOKUP(D:D,Customer_info!A:A, 1, FALSE), "Not found")</f>
        <v>CUST120</v>
      </c>
      <c r="M167" s="3"/>
    </row>
    <row r="168" spans="1:13">
      <c r="A168" t="s">
        <v>299</v>
      </c>
      <c r="B168" s="2">
        <v>45463</v>
      </c>
      <c r="C168" s="1" t="str">
        <f t="shared" si="2"/>
        <v>Jun</v>
      </c>
      <c r="D168" t="s">
        <v>217</v>
      </c>
      <c r="E168" t="s">
        <v>51</v>
      </c>
      <c r="F168" s="4">
        <v>3</v>
      </c>
      <c r="G168" s="3">
        <v>257.55</v>
      </c>
      <c r="H168" s="3" t="str">
        <f>VLOOKUP(Sales!E:E, Table2[#All], 3,FALSE)</f>
        <v>Beauty</v>
      </c>
      <c r="I168" s="3" t="str">
        <f>VLOOKUP(D:D,Table3[#All], 4, FALSE)</f>
        <v>United States</v>
      </c>
      <c r="J168" s="2">
        <f>VLOOKUP(D:D,Table3[#All], 5, FALSE)</f>
        <v>45225</v>
      </c>
      <c r="K168" s="2" t="str">
        <f>TEXT(Table1[[#This Row],[SIGNUPDATE]], "mmm, yy")</f>
        <v>Oct, 23</v>
      </c>
      <c r="L168" s="3" t="str">
        <f>IFERROR(VLOOKUP(D:D,Customer_info!A:A, 1, FALSE), "Not found")</f>
        <v>CUST064</v>
      </c>
      <c r="M168" s="3"/>
    </row>
    <row r="169" spans="1:13">
      <c r="A169" t="s">
        <v>300</v>
      </c>
      <c r="B169" s="2">
        <v>45334</v>
      </c>
      <c r="C169" s="1" t="str">
        <f t="shared" si="2"/>
        <v>Feb</v>
      </c>
      <c r="D169" t="s">
        <v>301</v>
      </c>
      <c r="E169" t="s">
        <v>128</v>
      </c>
      <c r="F169" s="4">
        <v>4</v>
      </c>
      <c r="G169" s="3">
        <v>466.68</v>
      </c>
      <c r="H169" s="3" t="str">
        <f>VLOOKUP(Sales!E:E, Table2[#All], 3,FALSE)</f>
        <v>Home</v>
      </c>
      <c r="I169" s="3" t="str">
        <f>VLOOKUP(D:D,Table3[#All], 4, FALSE)</f>
        <v>US</v>
      </c>
      <c r="J169" s="2">
        <f>VLOOKUP(D:D,Table3[#All], 5, FALSE)</f>
        <v>45197</v>
      </c>
      <c r="K169" s="2" t="str">
        <f>TEXT(Table1[[#This Row],[SIGNUPDATE]], "mmm, yy")</f>
        <v>Sep, 23</v>
      </c>
      <c r="L169" s="3" t="str">
        <f>IFERROR(VLOOKUP(D:D,Customer_info!A:A, 1, FALSE), "Not found")</f>
        <v>CUST103</v>
      </c>
      <c r="M169" s="3"/>
    </row>
    <row r="170" spans="1:13">
      <c r="A170" t="s">
        <v>302</v>
      </c>
      <c r="B170" s="2">
        <v>45324</v>
      </c>
      <c r="C170" s="1" t="str">
        <f t="shared" si="2"/>
        <v>Feb</v>
      </c>
      <c r="D170" t="s">
        <v>138</v>
      </c>
      <c r="E170" t="s">
        <v>303</v>
      </c>
      <c r="F170" s="4">
        <v>4</v>
      </c>
      <c r="G170" s="3">
        <v>1096.8800000000001</v>
      </c>
      <c r="H170" s="3" t="str">
        <f>VLOOKUP(Sales!E:E, Table2[#All], 3,FALSE)</f>
        <v>Clothing</v>
      </c>
      <c r="I170" s="3" t="str">
        <f>VLOOKUP(D:D,Table3[#All], 4, FALSE)</f>
        <v>US</v>
      </c>
      <c r="J170" s="2">
        <f>VLOOKUP(D:D,Table3[#All], 5, FALSE)</f>
        <v>45222</v>
      </c>
      <c r="K170" s="2" t="str">
        <f>TEXT(Table1[[#This Row],[SIGNUPDATE]], "mmm, yy")</f>
        <v>Oct, 23</v>
      </c>
      <c r="L170" s="3" t="str">
        <f>IFERROR(VLOOKUP(D:D,Customer_info!A:A, 1, FALSE), "Not found")</f>
        <v>CUST030</v>
      </c>
      <c r="M170" s="3"/>
    </row>
    <row r="171" spans="1:13">
      <c r="A171" t="s">
        <v>304</v>
      </c>
      <c r="B171" s="2">
        <v>45428</v>
      </c>
      <c r="C171" s="1" t="str">
        <f t="shared" si="2"/>
        <v>May</v>
      </c>
      <c r="D171" t="s">
        <v>12</v>
      </c>
      <c r="E171" t="s">
        <v>131</v>
      </c>
      <c r="F171" s="4">
        <v>5</v>
      </c>
      <c r="G171" s="3">
        <v>1689</v>
      </c>
      <c r="H171" s="3" t="str">
        <f>VLOOKUP(Sales!E:E, Table2[#All], 3,FALSE)</f>
        <v>Home</v>
      </c>
      <c r="I171" s="3" t="str">
        <f>VLOOKUP(D:D,Table3[#All], 4, FALSE)</f>
        <v>Canada</v>
      </c>
      <c r="J171" s="2">
        <f>VLOOKUP(D:D,Table3[#All], 5, FALSE)</f>
        <v>44927</v>
      </c>
      <c r="K171" s="2" t="str">
        <f>TEXT(Table1[[#This Row],[SIGNUPDATE]], "mmm, yy")</f>
        <v>Jan, 23</v>
      </c>
      <c r="L171" s="3" t="str">
        <f>IFERROR(VLOOKUP(D:D,Customer_info!A:A, 1, FALSE), "Not found")</f>
        <v>CUST091</v>
      </c>
      <c r="M171" s="3"/>
    </row>
    <row r="172" spans="1:13">
      <c r="A172" t="s">
        <v>305</v>
      </c>
      <c r="B172" s="2">
        <v>45392</v>
      </c>
      <c r="C172" s="1" t="str">
        <f t="shared" si="2"/>
        <v>Apr</v>
      </c>
      <c r="D172" t="s">
        <v>306</v>
      </c>
      <c r="E172" t="s">
        <v>16</v>
      </c>
      <c r="F172" s="4">
        <v>1</v>
      </c>
      <c r="G172" s="3">
        <v>394.46</v>
      </c>
      <c r="H172" s="3" t="str">
        <f>VLOOKUP(Sales!E:E, Table2[#All], 3,FALSE)</f>
        <v>Clothing</v>
      </c>
      <c r="I172" s="3" t="str">
        <f>VLOOKUP(D:D,Table3[#All], 4, FALSE)</f>
        <v>Canada</v>
      </c>
      <c r="J172" s="2">
        <f>VLOOKUP(D:D,Table3[#All], 5, FALSE)</f>
        <v>45166</v>
      </c>
      <c r="K172" s="2" t="str">
        <f>TEXT(Table1[[#This Row],[SIGNUPDATE]], "mmm, yy")</f>
        <v>Aug, 23</v>
      </c>
      <c r="L172" s="3" t="str">
        <f>IFERROR(VLOOKUP(D:D,Customer_info!A:A, 1, FALSE), "Not found")</f>
        <v>CUST074</v>
      </c>
      <c r="M172" s="3"/>
    </row>
    <row r="173" spans="1:13">
      <c r="A173" t="s">
        <v>307</v>
      </c>
      <c r="B173" s="2">
        <v>45436</v>
      </c>
      <c r="C173" s="1" t="str">
        <f t="shared" si="2"/>
        <v>May</v>
      </c>
      <c r="D173" t="s">
        <v>244</v>
      </c>
      <c r="E173" t="s">
        <v>80</v>
      </c>
      <c r="F173" s="4">
        <v>5</v>
      </c>
      <c r="G173" s="3">
        <v>2166.4</v>
      </c>
      <c r="H173" s="3" t="str">
        <f>VLOOKUP(Sales!E:E, Table2[#All], 3,FALSE)</f>
        <v>Beauty</v>
      </c>
      <c r="I173" s="3" t="str">
        <f>VLOOKUP(D:D,Table3[#All], 4, FALSE)</f>
        <v>UK</v>
      </c>
      <c r="J173" s="2">
        <f>VLOOKUP(D:D,Table3[#All], 5, FALSE)</f>
        <v>44974</v>
      </c>
      <c r="K173" s="2" t="str">
        <f>TEXT(Table1[[#This Row],[SIGNUPDATE]], "mmm, yy")</f>
        <v>Feb, 23</v>
      </c>
      <c r="L173" s="3" t="str">
        <f>IFERROR(VLOOKUP(D:D,Customer_info!A:A, 1, FALSE), "Not found")</f>
        <v>CUST008</v>
      </c>
      <c r="M173" s="3"/>
    </row>
    <row r="174" spans="1:13">
      <c r="A174" t="s">
        <v>308</v>
      </c>
      <c r="B174" s="2">
        <v>45313</v>
      </c>
      <c r="C174" s="1" t="str">
        <f t="shared" si="2"/>
        <v>Jan</v>
      </c>
      <c r="D174" t="s">
        <v>309</v>
      </c>
      <c r="E174" t="s">
        <v>7</v>
      </c>
      <c r="F174" s="4">
        <v>1</v>
      </c>
      <c r="G174" s="3">
        <v>419.65</v>
      </c>
      <c r="H174" s="3" t="str">
        <f>VLOOKUP(Sales!E:E, Table2[#All], 3,FALSE)</f>
        <v>Sports</v>
      </c>
      <c r="I174" s="3" t="str">
        <f>VLOOKUP(D:D,Table3[#All], 4, FALSE)</f>
        <v>US</v>
      </c>
      <c r="J174" s="2">
        <f>VLOOKUP(D:D,Table3[#All], 5, FALSE)</f>
        <v>45103</v>
      </c>
      <c r="K174" s="2" t="str">
        <f>TEXT(Table1[[#This Row],[SIGNUPDATE]], "mmm, yy")</f>
        <v>Jun, 23</v>
      </c>
      <c r="L174" s="3" t="str">
        <f>IFERROR(VLOOKUP(D:D,Customer_info!A:A, 1, FALSE), "Not found")</f>
        <v>CUST023</v>
      </c>
      <c r="M174" s="3"/>
    </row>
    <row r="175" spans="1:13">
      <c r="A175" t="s">
        <v>310</v>
      </c>
      <c r="B175" s="2">
        <v>45326</v>
      </c>
      <c r="C175" s="1" t="str">
        <f t="shared" si="2"/>
        <v>Feb</v>
      </c>
      <c r="D175" t="s">
        <v>311</v>
      </c>
      <c r="E175" t="s">
        <v>123</v>
      </c>
      <c r="F175" s="4">
        <v>4</v>
      </c>
      <c r="G175" s="3">
        <v>158.80000000000001</v>
      </c>
      <c r="H175" s="3" t="str">
        <f>VLOOKUP(Sales!E:E, Table2[#All], 3,FALSE)</f>
        <v>Electronics</v>
      </c>
      <c r="I175" s="3" t="str">
        <f>VLOOKUP(D:D,Table3[#All], 4, FALSE)</f>
        <v>UK</v>
      </c>
      <c r="J175" s="2">
        <f>VLOOKUP(D:D,Table3[#All], 5, FALSE)</f>
        <v>45044</v>
      </c>
      <c r="K175" s="2" t="str">
        <f>TEXT(Table1[[#This Row],[SIGNUPDATE]], "mmm, yy")</f>
        <v>Apr, 23</v>
      </c>
      <c r="L175" s="3" t="str">
        <f>IFERROR(VLOOKUP(D:D,Customer_info!A:A, 1, FALSE), "Not found")</f>
        <v>CUST051</v>
      </c>
      <c r="M175" s="3"/>
    </row>
    <row r="176" spans="1:13">
      <c r="A176" t="s">
        <v>312</v>
      </c>
      <c r="B176" s="2">
        <v>45338</v>
      </c>
      <c r="C176" s="1" t="str">
        <f t="shared" si="2"/>
        <v>Feb</v>
      </c>
      <c r="D176" t="s">
        <v>268</v>
      </c>
      <c r="E176" t="s">
        <v>27</v>
      </c>
      <c r="F176" s="4">
        <v>4</v>
      </c>
      <c r="G176" s="3">
        <v>1808.8</v>
      </c>
      <c r="H176" s="3" t="str">
        <f>VLOOKUP(Sales!E:E, Table2[#All], 3,FALSE)</f>
        <v>Beauty</v>
      </c>
      <c r="I176" s="3" t="str">
        <f>VLOOKUP(D:D,Table3[#All], 4, FALSE)</f>
        <v>United Kingdom</v>
      </c>
      <c r="J176" s="2">
        <f>VLOOKUP(D:D,Table3[#All], 5, FALSE)</f>
        <v>45099</v>
      </c>
      <c r="K176" s="2" t="str">
        <f>TEXT(Table1[[#This Row],[SIGNUPDATE]], "mmm, yy")</f>
        <v>Jun, 23</v>
      </c>
      <c r="L176" s="3" t="str">
        <f>IFERROR(VLOOKUP(D:D,Customer_info!A:A, 1, FALSE), "Not found")</f>
        <v>CUST020</v>
      </c>
      <c r="M176" s="3"/>
    </row>
    <row r="177" spans="1:13">
      <c r="A177" t="s">
        <v>313</v>
      </c>
      <c r="B177" s="2">
        <v>45358</v>
      </c>
      <c r="C177" s="1" t="str">
        <f t="shared" si="2"/>
        <v>Mar</v>
      </c>
      <c r="D177" t="s">
        <v>314</v>
      </c>
      <c r="E177" t="s">
        <v>51</v>
      </c>
      <c r="F177" s="4">
        <v>1</v>
      </c>
      <c r="G177" s="3">
        <v>85.85</v>
      </c>
      <c r="H177" s="3" t="str">
        <f>VLOOKUP(Sales!E:E, Table2[#All], 3,FALSE)</f>
        <v>Beauty</v>
      </c>
      <c r="I177" s="3" t="str">
        <f>VLOOKUP(D:D,Table3[#All], 4, FALSE)</f>
        <v>United States</v>
      </c>
      <c r="J177" s="2">
        <f>VLOOKUP(D:D,Table3[#All], 5, FALSE)</f>
        <v>44936</v>
      </c>
      <c r="K177" s="2" t="str">
        <f>TEXT(Table1[[#This Row],[SIGNUPDATE]], "mmm, yy")</f>
        <v>Jan, 23</v>
      </c>
      <c r="L177" s="3" t="str">
        <f>IFERROR(VLOOKUP(D:D,Customer_info!A:A, 1, FALSE), "Not found")</f>
        <v>CUST093</v>
      </c>
      <c r="M177" s="3"/>
    </row>
    <row r="178" spans="1:13">
      <c r="A178" t="s">
        <v>315</v>
      </c>
      <c r="B178" s="2">
        <v>45375</v>
      </c>
      <c r="C178" s="1" t="str">
        <f t="shared" si="2"/>
        <v>Mar</v>
      </c>
      <c r="D178" t="s">
        <v>110</v>
      </c>
      <c r="E178" t="s">
        <v>107</v>
      </c>
      <c r="F178" s="4">
        <v>4</v>
      </c>
      <c r="G178" s="3">
        <v>197</v>
      </c>
      <c r="H178" s="3" t="str">
        <f>VLOOKUP(Sales!E:E, Table2[#All], 3,FALSE)</f>
        <v>Sports</v>
      </c>
      <c r="I178" s="3" t="str">
        <f>VLOOKUP(D:D,Table3[#All], 4, FALSE)</f>
        <v>United Kingdom</v>
      </c>
      <c r="J178" s="2">
        <f>VLOOKUP(D:D,Table3[#All], 5, FALSE)</f>
        <v>45062</v>
      </c>
      <c r="K178" s="2" t="str">
        <f>TEXT(Table1[[#This Row],[SIGNUPDATE]], "mmm, yy")</f>
        <v>May, 23</v>
      </c>
      <c r="L178" s="3" t="str">
        <f>IFERROR(VLOOKUP(D:D,Customer_info!A:A, 1, FALSE), "Not found")</f>
        <v>CUST059</v>
      </c>
      <c r="M178" s="3"/>
    </row>
    <row r="179" spans="1:13">
      <c r="A179" t="s">
        <v>316</v>
      </c>
      <c r="B179" s="2">
        <v>45408</v>
      </c>
      <c r="C179" s="1" t="str">
        <f t="shared" si="2"/>
        <v>Apr</v>
      </c>
      <c r="D179" t="s">
        <v>317</v>
      </c>
      <c r="E179" t="s">
        <v>34</v>
      </c>
      <c r="F179" s="4">
        <v>2</v>
      </c>
      <c r="G179" s="3">
        <v>584.67999999999995</v>
      </c>
      <c r="H179" s="3" t="str">
        <f>VLOOKUP(Sales!E:E, Table2[#All], 3,FALSE)</f>
        <v>Sports</v>
      </c>
      <c r="I179" s="3" t="str">
        <f>VLOOKUP(D:D,Table3[#All], 4, FALSE)</f>
        <v>UK</v>
      </c>
      <c r="J179" s="2">
        <f>VLOOKUP(D:D,Table3[#All], 5, FALSE)</f>
        <v>45289</v>
      </c>
      <c r="K179" s="2" t="str">
        <f>TEXT(Table1[[#This Row],[SIGNUPDATE]], "mmm, yy")</f>
        <v>Dec, 23</v>
      </c>
      <c r="L179" s="3" t="str">
        <f>IFERROR(VLOOKUP(D:D,Customer_info!A:A, 1, FALSE), "Not found")</f>
        <v>CUST118</v>
      </c>
      <c r="M179" s="3"/>
    </row>
    <row r="180" spans="1:13">
      <c r="A180" t="s">
        <v>318</v>
      </c>
      <c r="B180" s="2">
        <v>45378</v>
      </c>
      <c r="C180" s="1" t="str">
        <f t="shared" si="2"/>
        <v>Mar</v>
      </c>
      <c r="D180" t="s">
        <v>166</v>
      </c>
      <c r="E180" t="s">
        <v>123</v>
      </c>
      <c r="F180" s="4">
        <v>3</v>
      </c>
      <c r="G180" s="3">
        <v>119.1</v>
      </c>
      <c r="H180" s="3" t="str">
        <f>VLOOKUP(Sales!E:E, Table2[#All], 3,FALSE)</f>
        <v>Electronics</v>
      </c>
      <c r="I180" s="3" t="str">
        <f>VLOOKUP(D:D,Table3[#All], 4, FALSE)</f>
        <v>United Kingdom</v>
      </c>
      <c r="J180" s="2">
        <f>VLOOKUP(D:D,Table3[#All], 5, FALSE)</f>
        <v>44959</v>
      </c>
      <c r="K180" s="2" t="str">
        <f>TEXT(Table1[[#This Row],[SIGNUPDATE]], "mmm, yy")</f>
        <v>Feb, 23</v>
      </c>
      <c r="L180" s="3" t="str">
        <f>IFERROR(VLOOKUP(D:D,Customer_info!A:A, 1, FALSE), "Not found")</f>
        <v>CUST113</v>
      </c>
      <c r="M180" s="3"/>
    </row>
    <row r="181" spans="1:13">
      <c r="A181" t="s">
        <v>319</v>
      </c>
      <c r="B181" s="2">
        <v>45363</v>
      </c>
      <c r="C181" s="1" t="str">
        <f t="shared" si="2"/>
        <v>Mar</v>
      </c>
      <c r="D181" t="s">
        <v>205</v>
      </c>
      <c r="E181" t="s">
        <v>34</v>
      </c>
      <c r="F181" s="4">
        <v>4</v>
      </c>
      <c r="G181" s="3">
        <v>1169.3599999999999</v>
      </c>
      <c r="H181" s="3" t="str">
        <f>VLOOKUP(Sales!E:E, Table2[#All], 3,FALSE)</f>
        <v>Sports</v>
      </c>
      <c r="I181" s="3" t="str">
        <f>VLOOKUP(D:D,Table3[#All], 4, FALSE)</f>
        <v>Canada</v>
      </c>
      <c r="J181" s="2">
        <f>VLOOKUP(D:D,Table3[#All], 5, FALSE)</f>
        <v>45235</v>
      </c>
      <c r="K181" s="2" t="str">
        <f>TEXT(Table1[[#This Row],[SIGNUPDATE]], "mmm, yy")</f>
        <v>Nov, 23</v>
      </c>
      <c r="L181" s="3" t="str">
        <f>IFERROR(VLOOKUP(D:D,Customer_info!A:A, 1, FALSE), "Not found")</f>
        <v>CUST010</v>
      </c>
      <c r="M181" s="3"/>
    </row>
    <row r="182" spans="1:13">
      <c r="A182" t="s">
        <v>320</v>
      </c>
      <c r="B182" s="2">
        <v>45356</v>
      </c>
      <c r="C182" s="1" t="str">
        <f t="shared" si="2"/>
        <v>Mar</v>
      </c>
      <c r="D182" t="s">
        <v>144</v>
      </c>
      <c r="E182" t="s">
        <v>7</v>
      </c>
      <c r="F182" s="4">
        <v>4</v>
      </c>
      <c r="G182" s="3">
        <v>1678.6</v>
      </c>
      <c r="H182" s="3" t="str">
        <f>VLOOKUP(Sales!E:E, Table2[#All], 3,FALSE)</f>
        <v>Sports</v>
      </c>
      <c r="I182" s="3" t="str">
        <f>VLOOKUP(D:D,Table3[#All], 4, FALSE)</f>
        <v>United Kingdom</v>
      </c>
      <c r="J182" s="2">
        <f>VLOOKUP(D:D,Table3[#All], 5, FALSE)</f>
        <v>44997</v>
      </c>
      <c r="K182" s="2" t="str">
        <f>TEXT(Table1[[#This Row],[SIGNUPDATE]], "mmm, yy")</f>
        <v>Mar, 23</v>
      </c>
      <c r="L182" s="3" t="str">
        <f>IFERROR(VLOOKUP(D:D,Customer_info!A:A, 1, FALSE), "Not found")</f>
        <v>CUST066</v>
      </c>
      <c r="M182" s="3"/>
    </row>
    <row r="183" spans="1:13">
      <c r="A183" t="s">
        <v>321</v>
      </c>
      <c r="B183" s="2">
        <v>45412</v>
      </c>
      <c r="C183" s="1" t="str">
        <f t="shared" si="2"/>
        <v>Apr</v>
      </c>
      <c r="D183" t="s">
        <v>322</v>
      </c>
      <c r="E183" t="s">
        <v>177</v>
      </c>
      <c r="F183" s="4">
        <v>1</v>
      </c>
      <c r="G183" s="3">
        <v>217.55</v>
      </c>
      <c r="H183" s="3" t="str">
        <f>VLOOKUP(Sales!E:E, Table2[#All], 3,FALSE)</f>
        <v>Home</v>
      </c>
      <c r="I183" s="3" t="str">
        <f>VLOOKUP(D:D,Table3[#All], 4, FALSE)</f>
        <v>United States</v>
      </c>
      <c r="J183" s="2">
        <f>VLOOKUP(D:D,Table3[#All], 5, FALSE)</f>
        <v>44976</v>
      </c>
      <c r="K183" s="2" t="str">
        <f>TEXT(Table1[[#This Row],[SIGNUPDATE]], "mmm, yy")</f>
        <v>Feb, 23</v>
      </c>
      <c r="L183" s="3" t="str">
        <f>IFERROR(VLOOKUP(D:D,Customer_info!A:A, 1, FALSE), "Not found")</f>
        <v>CUST022</v>
      </c>
      <c r="M183" s="3"/>
    </row>
    <row r="184" spans="1:13">
      <c r="A184" t="s">
        <v>323</v>
      </c>
      <c r="B184" s="2">
        <v>45430</v>
      </c>
      <c r="C184" s="1" t="str">
        <f t="shared" si="2"/>
        <v>May</v>
      </c>
      <c r="D184" t="s">
        <v>244</v>
      </c>
      <c r="E184" t="s">
        <v>128</v>
      </c>
      <c r="F184" s="4">
        <v>1</v>
      </c>
      <c r="G184" s="3">
        <v>116.67</v>
      </c>
      <c r="H184" s="3" t="str">
        <f>VLOOKUP(Sales!E:E, Table2[#All], 3,FALSE)</f>
        <v>Home</v>
      </c>
      <c r="I184" s="3" t="str">
        <f>VLOOKUP(D:D,Table3[#All], 4, FALSE)</f>
        <v>UK</v>
      </c>
      <c r="J184" s="2">
        <f>VLOOKUP(D:D,Table3[#All], 5, FALSE)</f>
        <v>44974</v>
      </c>
      <c r="K184" s="2" t="str">
        <f>TEXT(Table1[[#This Row],[SIGNUPDATE]], "mmm, yy")</f>
        <v>Feb, 23</v>
      </c>
      <c r="L184" s="3" t="str">
        <f>IFERROR(VLOOKUP(D:D,Customer_info!A:A, 1, FALSE), "Not found")</f>
        <v>CUST008</v>
      </c>
      <c r="M184" s="3"/>
    </row>
    <row r="185" spans="1:13">
      <c r="A185" t="s">
        <v>324</v>
      </c>
      <c r="B185" s="2">
        <v>45381</v>
      </c>
      <c r="C185" s="1" t="str">
        <f t="shared" si="2"/>
        <v>Mar</v>
      </c>
      <c r="D185" t="s">
        <v>232</v>
      </c>
      <c r="E185" t="s">
        <v>16</v>
      </c>
      <c r="F185" s="4">
        <v>1</v>
      </c>
      <c r="G185" s="3">
        <v>394.46</v>
      </c>
      <c r="H185" s="3" t="str">
        <f>VLOOKUP(Sales!E:E, Table2[#All], 3,FALSE)</f>
        <v>Clothing</v>
      </c>
      <c r="I185" s="3" t="str">
        <f>VLOOKUP(D:D,Table3[#All], 4, FALSE)</f>
        <v>India</v>
      </c>
      <c r="J185" s="2">
        <f>VLOOKUP(D:D,Table3[#All], 5, FALSE)</f>
        <v>44957</v>
      </c>
      <c r="K185" s="2" t="str">
        <f>TEXT(Table1[[#This Row],[SIGNUPDATE]], "mmm, yy")</f>
        <v>Jan, 23</v>
      </c>
      <c r="L185" s="3" t="str">
        <f>IFERROR(VLOOKUP(D:D,Customer_info!A:A, 1, FALSE), "Not found")</f>
        <v>CUST119</v>
      </c>
      <c r="M185" s="3"/>
    </row>
    <row r="186" spans="1:13">
      <c r="A186" t="s">
        <v>325</v>
      </c>
      <c r="B186" s="2">
        <v>45458</v>
      </c>
      <c r="C186" s="1" t="str">
        <f t="shared" si="2"/>
        <v>Jun</v>
      </c>
      <c r="D186" t="s">
        <v>75</v>
      </c>
      <c r="E186" t="s">
        <v>27</v>
      </c>
      <c r="F186" s="4">
        <v>2</v>
      </c>
      <c r="G186" s="3">
        <v>904.4</v>
      </c>
      <c r="H186" s="3" t="str">
        <f>VLOOKUP(Sales!E:E, Table2[#All], 3,FALSE)</f>
        <v>Beauty</v>
      </c>
      <c r="I186" s="3" t="str">
        <f>VLOOKUP(D:D,Table3[#All], 4, FALSE)</f>
        <v>United Kingdom</v>
      </c>
      <c r="J186" s="2">
        <f>VLOOKUP(D:D,Table3[#All], 5, FALSE)</f>
        <v>45262</v>
      </c>
      <c r="K186" s="2" t="str">
        <f>TEXT(Table1[[#This Row],[SIGNUPDATE]], "mmm, yy")</f>
        <v>Dec, 23</v>
      </c>
      <c r="L186" s="3" t="str">
        <f>IFERROR(VLOOKUP(D:D,Customer_info!A:A, 1, FALSE), "Not found")</f>
        <v>CUST056</v>
      </c>
      <c r="M186" s="3"/>
    </row>
    <row r="187" spans="1:13">
      <c r="A187" t="s">
        <v>326</v>
      </c>
      <c r="B187" s="2">
        <v>45458</v>
      </c>
      <c r="C187" s="1" t="str">
        <f t="shared" si="2"/>
        <v>Jun</v>
      </c>
      <c r="D187" t="s">
        <v>86</v>
      </c>
      <c r="E187" t="s">
        <v>51</v>
      </c>
      <c r="F187" s="4">
        <v>1</v>
      </c>
      <c r="G187" s="3">
        <v>85.85</v>
      </c>
      <c r="H187" s="3" t="str">
        <f>VLOOKUP(Sales!E:E, Table2[#All], 3,FALSE)</f>
        <v>Beauty</v>
      </c>
      <c r="I187" s="3" t="str">
        <f>VLOOKUP(D:D,Table3[#All], 4, FALSE)</f>
        <v>United Kingdom</v>
      </c>
      <c r="J187" s="2">
        <f>VLOOKUP(D:D,Table3[#All], 5, FALSE)</f>
        <v>45287</v>
      </c>
      <c r="K187" s="2" t="str">
        <f>TEXT(Table1[[#This Row],[SIGNUPDATE]], "mmm, yy")</f>
        <v>Dec, 23</v>
      </c>
      <c r="L187" s="3" t="str">
        <f>IFERROR(VLOOKUP(D:D,Customer_info!A:A, 1, FALSE), "Not found")</f>
        <v>CUST031</v>
      </c>
      <c r="M187" s="3"/>
    </row>
    <row r="188" spans="1:13">
      <c r="A188" t="s">
        <v>327</v>
      </c>
      <c r="B188" s="2">
        <v>45299</v>
      </c>
      <c r="C188" s="1" t="str">
        <f t="shared" si="2"/>
        <v>Jan</v>
      </c>
      <c r="D188" t="s">
        <v>181</v>
      </c>
      <c r="E188" t="s">
        <v>145</v>
      </c>
      <c r="F188" s="4">
        <v>1</v>
      </c>
      <c r="G188" s="3">
        <v>332.9</v>
      </c>
      <c r="H188" s="3" t="str">
        <f>VLOOKUP(Sales!E:E, Table2[#All], 3,FALSE)</f>
        <v>Electronics</v>
      </c>
      <c r="I188" s="3" t="str">
        <f>VLOOKUP(D:D,Table3[#All], 4, FALSE)</f>
        <v>Canada</v>
      </c>
      <c r="J188" s="2">
        <f>VLOOKUP(D:D,Table3[#All], 5, FALSE)</f>
        <v>45028</v>
      </c>
      <c r="K188" s="2" t="str">
        <f>TEXT(Table1[[#This Row],[SIGNUPDATE]], "mmm, yy")</f>
        <v>Apr, 23</v>
      </c>
      <c r="L188" s="3" t="str">
        <f>IFERROR(VLOOKUP(D:D,Customer_info!A:A, 1, FALSE), "Not found")</f>
        <v>CUST088</v>
      </c>
      <c r="M188" s="3"/>
    </row>
    <row r="189" spans="1:13">
      <c r="A189" t="s">
        <v>328</v>
      </c>
      <c r="B189" s="2">
        <v>45343</v>
      </c>
      <c r="C189" s="1" t="str">
        <f t="shared" si="2"/>
        <v>Feb</v>
      </c>
      <c r="D189" t="s">
        <v>84</v>
      </c>
      <c r="E189" t="s">
        <v>51</v>
      </c>
      <c r="F189" s="4">
        <v>2</v>
      </c>
      <c r="G189" s="3">
        <v>171.7</v>
      </c>
      <c r="H189" s="3" t="str">
        <f>VLOOKUP(Sales!E:E, Table2[#All], 3,FALSE)</f>
        <v>Beauty</v>
      </c>
      <c r="I189" s="3" t="str">
        <f>VLOOKUP(D:D,Table3[#All], 4, FALSE)</f>
        <v>United Kingdom</v>
      </c>
      <c r="J189" s="2">
        <f>VLOOKUP(D:D,Table3[#All], 5, FALSE)</f>
        <v>45118</v>
      </c>
      <c r="K189" s="2" t="str">
        <f>TEXT(Table1[[#This Row],[SIGNUPDATE]], "mmm, yy")</f>
        <v>Jul, 23</v>
      </c>
      <c r="L189" s="3" t="str">
        <f>IFERROR(VLOOKUP(D:D,Customer_info!A:A, 1, FALSE), "Not found")</f>
        <v>CUST089</v>
      </c>
      <c r="M189" s="3"/>
    </row>
    <row r="190" spans="1:13">
      <c r="A190" t="s">
        <v>329</v>
      </c>
      <c r="B190" s="2">
        <v>45451</v>
      </c>
      <c r="C190" s="1" t="str">
        <f t="shared" si="2"/>
        <v>Jun</v>
      </c>
      <c r="D190" t="s">
        <v>171</v>
      </c>
      <c r="E190" t="s">
        <v>131</v>
      </c>
      <c r="F190" s="4">
        <v>1</v>
      </c>
      <c r="G190" s="3">
        <v>337.8</v>
      </c>
      <c r="H190" s="3" t="str">
        <f>VLOOKUP(Sales!E:E, Table2[#All], 3,FALSE)</f>
        <v>Home</v>
      </c>
      <c r="I190" s="3" t="str">
        <f>VLOOKUP(D:D,Table3[#All], 4, FALSE)</f>
        <v>Canada</v>
      </c>
      <c r="J190" s="2">
        <f>VLOOKUP(D:D,Table3[#All], 5, FALSE)</f>
        <v>45158</v>
      </c>
      <c r="K190" s="2" t="str">
        <f>TEXT(Table1[[#This Row],[SIGNUPDATE]], "mmm, yy")</f>
        <v>Aug, 23</v>
      </c>
      <c r="L190" s="3" t="str">
        <f>IFERROR(VLOOKUP(D:D,Customer_info!A:A, 1, FALSE), "Not found")</f>
        <v>CUST111</v>
      </c>
      <c r="M190" s="3"/>
    </row>
    <row r="191" spans="1:13">
      <c r="A191" t="s">
        <v>330</v>
      </c>
      <c r="B191" s="2">
        <v>45353</v>
      </c>
      <c r="C191" s="1" t="str">
        <f t="shared" si="2"/>
        <v>Mar</v>
      </c>
      <c r="D191" t="s">
        <v>110</v>
      </c>
      <c r="E191" t="s">
        <v>259</v>
      </c>
      <c r="F191" s="4">
        <v>2</v>
      </c>
      <c r="G191" s="3">
        <v>391.4</v>
      </c>
      <c r="H191" s="3" t="str">
        <f>VLOOKUP(Sales!E:E, Table2[#All], 3,FALSE)</f>
        <v>Clothing</v>
      </c>
      <c r="I191" s="3" t="str">
        <f>VLOOKUP(D:D,Table3[#All], 4, FALSE)</f>
        <v>United Kingdom</v>
      </c>
      <c r="J191" s="2">
        <f>VLOOKUP(D:D,Table3[#All], 5, FALSE)</f>
        <v>45062</v>
      </c>
      <c r="K191" s="2" t="str">
        <f>TEXT(Table1[[#This Row],[SIGNUPDATE]], "mmm, yy")</f>
        <v>May, 23</v>
      </c>
      <c r="L191" s="3" t="str">
        <f>IFERROR(VLOOKUP(D:D,Customer_info!A:A, 1, FALSE), "Not found")</f>
        <v>CUST059</v>
      </c>
      <c r="M191" s="3"/>
    </row>
    <row r="192" spans="1:13">
      <c r="A192" t="s">
        <v>331</v>
      </c>
      <c r="B192" s="2">
        <v>45413</v>
      </c>
      <c r="C192" s="1" t="str">
        <f t="shared" si="2"/>
        <v>May</v>
      </c>
      <c r="D192" t="s">
        <v>45</v>
      </c>
      <c r="E192" t="s">
        <v>40</v>
      </c>
      <c r="F192" s="4">
        <v>2</v>
      </c>
      <c r="G192" s="3">
        <v>76.02</v>
      </c>
      <c r="H192" s="3" t="str">
        <f>VLOOKUP(Sales!E:E, Table2[#All], 3,FALSE)</f>
        <v>Home</v>
      </c>
      <c r="I192" s="3" t="str">
        <f>VLOOKUP(D:D,Table3[#All], 4, FALSE)</f>
        <v>UK</v>
      </c>
      <c r="J192" s="2">
        <f>VLOOKUP(D:D,Table3[#All], 5, FALSE)</f>
        <v>45238</v>
      </c>
      <c r="K192" s="2" t="str">
        <f>TEXT(Table1[[#This Row],[SIGNUPDATE]], "mmm, yy")</f>
        <v>Nov, 23</v>
      </c>
      <c r="L192" s="3" t="str">
        <f>IFERROR(VLOOKUP(D:D,Customer_info!A:A, 1, FALSE), "Not found")</f>
        <v>CUST043</v>
      </c>
      <c r="M192" s="3"/>
    </row>
    <row r="193" spans="1:13">
      <c r="A193" t="s">
        <v>332</v>
      </c>
      <c r="B193" s="2">
        <v>45436</v>
      </c>
      <c r="C193" s="1" t="str">
        <f t="shared" si="2"/>
        <v>May</v>
      </c>
      <c r="D193" t="s">
        <v>333</v>
      </c>
      <c r="E193" t="s">
        <v>159</v>
      </c>
      <c r="F193" s="4">
        <v>1</v>
      </c>
      <c r="G193" s="3">
        <v>43.58</v>
      </c>
      <c r="H193" s="3" t="str">
        <f>VLOOKUP(Sales!E:E, Table2[#All], 3,FALSE)</f>
        <v>Clothing</v>
      </c>
      <c r="I193" s="3" t="str">
        <f>VLOOKUP(D:D,Table3[#All], 4, FALSE)</f>
        <v>UK</v>
      </c>
      <c r="J193" s="2">
        <f>VLOOKUP(D:D,Table3[#All], 5, FALSE)</f>
        <v>44951</v>
      </c>
      <c r="K193" s="2" t="str">
        <f>TEXT(Table1[[#This Row],[SIGNUPDATE]], "mmm, yy")</f>
        <v>Jan, 23</v>
      </c>
      <c r="L193" s="3" t="str">
        <f>IFERROR(VLOOKUP(D:D,Customer_info!A:A, 1, FALSE), "Not found")</f>
        <v>CUST068</v>
      </c>
      <c r="M193" s="3"/>
    </row>
    <row r="194" spans="1:13">
      <c r="A194" t="s">
        <v>334</v>
      </c>
      <c r="B194" s="2">
        <v>45411</v>
      </c>
      <c r="C194" s="1" t="str">
        <f t="shared" si="2"/>
        <v>Apr</v>
      </c>
      <c r="D194" t="s">
        <v>56</v>
      </c>
      <c r="E194" t="s">
        <v>113</v>
      </c>
      <c r="F194" s="4">
        <v>2</v>
      </c>
      <c r="G194" s="3">
        <v>454.26</v>
      </c>
      <c r="H194" s="3" t="str">
        <f>VLOOKUP(Sales!E:E, Table2[#All], 3,FALSE)</f>
        <v>Electronics</v>
      </c>
      <c r="I194" s="3" t="str">
        <f>VLOOKUP(D:D,Table3[#All], 4, FALSE)</f>
        <v>UK</v>
      </c>
      <c r="J194" s="2">
        <f>VLOOKUP(D:D,Table3[#All], 5, FALSE)</f>
        <v>45061</v>
      </c>
      <c r="K194" s="2" t="str">
        <f>TEXT(Table1[[#This Row],[SIGNUPDATE]], "mmm, yy")</f>
        <v>May, 23</v>
      </c>
      <c r="L194" s="3" t="str">
        <f>IFERROR(VLOOKUP(D:D,Customer_info!A:A, 1, FALSE), "Not found")</f>
        <v>CUST083</v>
      </c>
      <c r="M194" s="3"/>
    </row>
    <row r="195" spans="1:13">
      <c r="A195" t="s">
        <v>335</v>
      </c>
      <c r="B195" s="2">
        <v>45386</v>
      </c>
      <c r="C195" s="1" t="str">
        <f t="shared" si="2"/>
        <v>Apr</v>
      </c>
      <c r="D195" t="s">
        <v>184</v>
      </c>
      <c r="E195" t="s">
        <v>54</v>
      </c>
      <c r="F195" s="4">
        <v>3</v>
      </c>
      <c r="G195" s="3">
        <v>391.95</v>
      </c>
      <c r="H195" s="3" t="str">
        <f>VLOOKUP(Sales!E:E, Table2[#All], 3,FALSE)</f>
        <v>Sports</v>
      </c>
      <c r="I195" s="3" t="str">
        <f>VLOOKUP(D:D,Table3[#All], 4, FALSE)</f>
        <v>India</v>
      </c>
      <c r="J195" s="2">
        <f>VLOOKUP(D:D,Table3[#All], 5, FALSE)</f>
        <v>45186</v>
      </c>
      <c r="K195" s="2" t="str">
        <f>TEXT(Table1[[#This Row],[SIGNUPDATE]], "mmm, yy")</f>
        <v>Sep, 23</v>
      </c>
      <c r="L195" s="3" t="str">
        <f>IFERROR(VLOOKUP(D:D,Customer_info!A:A, 1, FALSE), "Not found")</f>
        <v>CUST087</v>
      </c>
      <c r="M195" s="3"/>
    </row>
    <row r="196" spans="1:13">
      <c r="A196" t="s">
        <v>336</v>
      </c>
      <c r="B196" s="2">
        <v>45447</v>
      </c>
      <c r="C196" s="1" t="str">
        <f t="shared" ref="C196:C259" si="3">TEXT(B196, "mmm")</f>
        <v>Jun</v>
      </c>
      <c r="D196" t="s">
        <v>6</v>
      </c>
      <c r="E196" t="s">
        <v>177</v>
      </c>
      <c r="F196" s="4">
        <v>2</v>
      </c>
      <c r="G196" s="3">
        <v>435.1</v>
      </c>
      <c r="H196" s="3" t="str">
        <f>VLOOKUP(Sales!E:E, Table2[#All], 3,FALSE)</f>
        <v>Home</v>
      </c>
      <c r="I196" s="3" t="str">
        <f>VLOOKUP(D:D,Table3[#All], 4, FALSE)</f>
        <v>Canada</v>
      </c>
      <c r="J196" s="2">
        <f>VLOOKUP(D:D,Table3[#All], 5, FALSE)</f>
        <v>45210</v>
      </c>
      <c r="K196" s="2" t="str">
        <f>TEXT(Table1[[#This Row],[SIGNUPDATE]], "mmm, yy")</f>
        <v>Oct, 23</v>
      </c>
      <c r="L196" s="3" t="str">
        <f>IFERROR(VLOOKUP(D:D,Customer_info!A:A, 1, FALSE), "Not found")</f>
        <v>CUST115</v>
      </c>
      <c r="M196" s="3"/>
    </row>
    <row r="197" spans="1:13">
      <c r="A197" t="s">
        <v>337</v>
      </c>
      <c r="B197" s="2">
        <v>45321</v>
      </c>
      <c r="C197" s="1" t="str">
        <f t="shared" si="3"/>
        <v>Jan</v>
      </c>
      <c r="D197" t="s">
        <v>134</v>
      </c>
      <c r="E197" t="s">
        <v>37</v>
      </c>
      <c r="F197" s="4">
        <v>5</v>
      </c>
      <c r="G197" s="3">
        <v>1671.6</v>
      </c>
      <c r="H197" s="3" t="str">
        <f>VLOOKUP(Sales!E:E, Table2[#All], 3,FALSE)</f>
        <v>Sports</v>
      </c>
      <c r="I197" s="3" t="str">
        <f>VLOOKUP(D:D,Table3[#All], 4, FALSE)</f>
        <v>India</v>
      </c>
      <c r="J197" s="2">
        <f>VLOOKUP(D:D,Table3[#All], 5, FALSE)</f>
        <v>45206</v>
      </c>
      <c r="K197" s="2" t="str">
        <f>TEXT(Table1[[#This Row],[SIGNUPDATE]], "mmm, yy")</f>
        <v>Oct, 23</v>
      </c>
      <c r="L197" s="3" t="str">
        <f>IFERROR(VLOOKUP(D:D,Customer_info!A:A, 1, FALSE), "Not found")</f>
        <v>CUST005</v>
      </c>
      <c r="M197" s="3"/>
    </row>
    <row r="198" spans="1:13">
      <c r="A198" t="s">
        <v>338</v>
      </c>
      <c r="B198" s="2">
        <v>45371</v>
      </c>
      <c r="C198" s="1" t="str">
        <f t="shared" si="3"/>
        <v>Mar</v>
      </c>
      <c r="D198" t="s">
        <v>82</v>
      </c>
      <c r="E198" t="s">
        <v>259</v>
      </c>
      <c r="F198" s="4">
        <v>2</v>
      </c>
      <c r="G198" s="3">
        <v>391.4</v>
      </c>
      <c r="H198" s="3" t="str">
        <f>VLOOKUP(Sales!E:E, Table2[#All], 3,FALSE)</f>
        <v>Clothing</v>
      </c>
      <c r="I198" s="3" t="str">
        <f>VLOOKUP(D:D,Table3[#All], 4, FALSE)</f>
        <v>United Kingdom</v>
      </c>
      <c r="J198" s="2">
        <f>VLOOKUP(D:D,Table3[#All], 5, FALSE)</f>
        <v>45159</v>
      </c>
      <c r="K198" s="2" t="str">
        <f>TEXT(Table1[[#This Row],[SIGNUPDATE]], "mmm, yy")</f>
        <v>Aug, 23</v>
      </c>
      <c r="L198" s="3" t="str">
        <f>IFERROR(VLOOKUP(D:D,Customer_info!A:A, 1, FALSE), "Not found")</f>
        <v>CUST082</v>
      </c>
      <c r="M198" s="3"/>
    </row>
    <row r="199" spans="1:13">
      <c r="A199" t="s">
        <v>339</v>
      </c>
      <c r="B199" s="2">
        <v>45440</v>
      </c>
      <c r="C199" s="1" t="str">
        <f t="shared" si="3"/>
        <v>May</v>
      </c>
      <c r="D199" t="s">
        <v>134</v>
      </c>
      <c r="E199" t="s">
        <v>128</v>
      </c>
      <c r="F199" s="4">
        <v>1</v>
      </c>
      <c r="G199" s="3">
        <v>116.67</v>
      </c>
      <c r="H199" s="3" t="str">
        <f>VLOOKUP(Sales!E:E, Table2[#All], 3,FALSE)</f>
        <v>Home</v>
      </c>
      <c r="I199" s="3" t="str">
        <f>VLOOKUP(D:D,Table3[#All], 4, FALSE)</f>
        <v>India</v>
      </c>
      <c r="J199" s="2">
        <f>VLOOKUP(D:D,Table3[#All], 5, FALSE)</f>
        <v>45206</v>
      </c>
      <c r="K199" s="2" t="str">
        <f>TEXT(Table1[[#This Row],[SIGNUPDATE]], "mmm, yy")</f>
        <v>Oct, 23</v>
      </c>
      <c r="L199" s="3" t="str">
        <f>IFERROR(VLOOKUP(D:D,Customer_info!A:A, 1, FALSE), "Not found")</f>
        <v>CUST005</v>
      </c>
      <c r="M199" s="3"/>
    </row>
    <row r="200" spans="1:13">
      <c r="A200" t="s">
        <v>340</v>
      </c>
      <c r="B200" s="2">
        <v>45371</v>
      </c>
      <c r="C200" s="1" t="str">
        <f t="shared" si="3"/>
        <v>Mar</v>
      </c>
      <c r="D200" t="s">
        <v>106</v>
      </c>
      <c r="E200" t="s">
        <v>259</v>
      </c>
      <c r="F200" s="4">
        <v>1</v>
      </c>
      <c r="G200" s="3">
        <v>195.7</v>
      </c>
      <c r="H200" s="3" t="str">
        <f>VLOOKUP(Sales!E:E, Table2[#All], 3,FALSE)</f>
        <v>Clothing</v>
      </c>
      <c r="I200" s="3" t="str">
        <f>VLOOKUP(D:D,Table3[#All], 4, FALSE)</f>
        <v>India</v>
      </c>
      <c r="J200" s="2">
        <f>VLOOKUP(D:D,Table3[#All], 5, FALSE)</f>
        <v>45079</v>
      </c>
      <c r="K200" s="2" t="str">
        <f>TEXT(Table1[[#This Row],[SIGNUPDATE]], "mmm, yy")</f>
        <v>Jun, 23</v>
      </c>
      <c r="L200" s="3" t="str">
        <f>IFERROR(VLOOKUP(D:D,Customer_info!A:A, 1, FALSE), "Not found")</f>
        <v>CUST086</v>
      </c>
      <c r="M200" s="3"/>
    </row>
    <row r="201" spans="1:13">
      <c r="A201" t="s">
        <v>341</v>
      </c>
      <c r="B201" s="2">
        <v>45465</v>
      </c>
      <c r="C201" s="1" t="str">
        <f t="shared" si="3"/>
        <v>Jun</v>
      </c>
      <c r="D201" t="s">
        <v>187</v>
      </c>
      <c r="E201" t="s">
        <v>113</v>
      </c>
      <c r="F201" s="4">
        <v>5</v>
      </c>
      <c r="G201" s="3">
        <v>1135.6500000000001</v>
      </c>
      <c r="H201" s="3" t="str">
        <f>VLOOKUP(Sales!E:E, Table2[#All], 3,FALSE)</f>
        <v>Electronics</v>
      </c>
      <c r="I201" s="3" t="str">
        <f>VLOOKUP(D:D,Table3[#All], 4, FALSE)</f>
        <v>UK</v>
      </c>
      <c r="J201" s="2">
        <f>VLOOKUP(D:D,Table3[#All], 5, FALSE)</f>
        <v>45112</v>
      </c>
      <c r="K201" s="2" t="str">
        <f>TEXT(Table1[[#This Row],[SIGNUPDATE]], "mmm, yy")</f>
        <v>Jul, 23</v>
      </c>
      <c r="L201" s="3" t="str">
        <f>IFERROR(VLOOKUP(D:D,Customer_info!A:A, 1, FALSE), "Not found")</f>
        <v>CUST094</v>
      </c>
      <c r="M201" s="3"/>
    </row>
    <row r="202" spans="1:13">
      <c r="A202" t="s">
        <v>342</v>
      </c>
      <c r="B202" s="2">
        <v>45393</v>
      </c>
      <c r="C202" s="1" t="str">
        <f t="shared" si="3"/>
        <v>Apr</v>
      </c>
      <c r="D202" t="s">
        <v>322</v>
      </c>
      <c r="E202" t="s">
        <v>48</v>
      </c>
      <c r="F202" s="4">
        <v>4</v>
      </c>
      <c r="G202" s="3">
        <v>1175.2</v>
      </c>
      <c r="H202" s="3" t="str">
        <f>VLOOKUP(Sales!E:E, Table2[#All], 3,FALSE)</f>
        <v>Electronics</v>
      </c>
      <c r="I202" s="3" t="str">
        <f>VLOOKUP(D:D,Table3[#All], 4, FALSE)</f>
        <v>United States</v>
      </c>
      <c r="J202" s="2">
        <f>VLOOKUP(D:D,Table3[#All], 5, FALSE)</f>
        <v>44976</v>
      </c>
      <c r="K202" s="2" t="str">
        <f>TEXT(Table1[[#This Row],[SIGNUPDATE]], "mmm, yy")</f>
        <v>Feb, 23</v>
      </c>
      <c r="L202" s="3" t="str">
        <f>IFERROR(VLOOKUP(D:D,Customer_info!A:A, 1, FALSE), "Not found")</f>
        <v>CUST022</v>
      </c>
      <c r="M202" s="3"/>
    </row>
    <row r="203" spans="1:13">
      <c r="A203" t="s">
        <v>343</v>
      </c>
      <c r="B203" s="2">
        <v>45311</v>
      </c>
      <c r="C203" s="1" t="str">
        <f t="shared" si="3"/>
        <v>Jan</v>
      </c>
      <c r="D203" t="s">
        <v>213</v>
      </c>
      <c r="E203" t="s">
        <v>107</v>
      </c>
      <c r="F203" s="4">
        <v>2</v>
      </c>
      <c r="G203" s="3">
        <v>98.5</v>
      </c>
      <c r="H203" s="3" t="str">
        <f>VLOOKUP(Sales!E:E, Table2[#All], 3,FALSE)</f>
        <v>Sports</v>
      </c>
      <c r="I203" s="3" t="str">
        <f>VLOOKUP(D:D,Table3[#All], 4, FALSE)</f>
        <v>United Kingdom</v>
      </c>
      <c r="J203" s="2">
        <f>VLOOKUP(D:D,Table3[#All], 5, FALSE)</f>
        <v>45163</v>
      </c>
      <c r="K203" s="2" t="str">
        <f>TEXT(Table1[[#This Row],[SIGNUPDATE]], "mmm, yy")</f>
        <v>Aug, 23</v>
      </c>
      <c r="L203" s="3" t="str">
        <f>IFERROR(VLOOKUP(D:D,Customer_info!A:A, 1, FALSE), "Not found")</f>
        <v>CUST046</v>
      </c>
      <c r="M203" s="3"/>
    </row>
    <row r="204" spans="1:13">
      <c r="A204" t="s">
        <v>344</v>
      </c>
      <c r="B204" s="2">
        <v>45468</v>
      </c>
      <c r="C204" s="1" t="str">
        <f t="shared" si="3"/>
        <v>Jun</v>
      </c>
      <c r="D204" t="s">
        <v>345</v>
      </c>
      <c r="E204" t="s">
        <v>27</v>
      </c>
      <c r="F204" s="4">
        <v>5</v>
      </c>
      <c r="G204" s="3">
        <v>2261</v>
      </c>
      <c r="H204" s="3" t="str">
        <f>VLOOKUP(Sales!E:E, Table2[#All], 3,FALSE)</f>
        <v>Beauty</v>
      </c>
      <c r="I204" s="3" t="str">
        <f>VLOOKUP(D:D,Table3[#All], 4, FALSE)</f>
        <v>Canada</v>
      </c>
      <c r="J204" s="2">
        <f>VLOOKUP(D:D,Table3[#All], 5, FALSE)</f>
        <v>45062</v>
      </c>
      <c r="K204" s="2" t="str">
        <f>TEXT(Table1[[#This Row],[SIGNUPDATE]], "mmm, yy")</f>
        <v>May, 23</v>
      </c>
      <c r="L204" s="3" t="str">
        <f>IFERROR(VLOOKUP(D:D,Customer_info!A:A, 1, FALSE), "Not found")</f>
        <v>CUST024</v>
      </c>
      <c r="M204" s="3"/>
    </row>
    <row r="205" spans="1:13">
      <c r="A205" t="s">
        <v>346</v>
      </c>
      <c r="B205" s="2">
        <v>45318</v>
      </c>
      <c r="C205" s="1" t="str">
        <f t="shared" si="3"/>
        <v>Jan</v>
      </c>
      <c r="D205" t="s">
        <v>9</v>
      </c>
      <c r="E205" t="s">
        <v>259</v>
      </c>
      <c r="F205" s="4">
        <v>2</v>
      </c>
      <c r="G205" s="3">
        <v>391.4</v>
      </c>
      <c r="H205" s="3" t="str">
        <f>VLOOKUP(Sales!E:E, Table2[#All], 3,FALSE)</f>
        <v>Clothing</v>
      </c>
      <c r="I205" s="3" t="str">
        <f>VLOOKUP(D:D,Table3[#All], 4, FALSE)</f>
        <v>India</v>
      </c>
      <c r="J205" s="2">
        <f>VLOOKUP(D:D,Table3[#All], 5, FALSE)</f>
        <v>44985</v>
      </c>
      <c r="K205" s="2" t="str">
        <f>TEXT(Table1[[#This Row],[SIGNUPDATE]], "mmm, yy")</f>
        <v>Feb, 23</v>
      </c>
      <c r="L205" s="3" t="str">
        <f>IFERROR(VLOOKUP(D:D,Customer_info!A:A, 1, FALSE), "Not found")</f>
        <v>CUST077</v>
      </c>
      <c r="M205" s="3"/>
    </row>
    <row r="206" spans="1:13">
      <c r="A206" t="s">
        <v>347</v>
      </c>
      <c r="B206" s="2">
        <v>45467</v>
      </c>
      <c r="C206" s="1" t="str">
        <f t="shared" si="3"/>
        <v>Jun</v>
      </c>
      <c r="D206" t="s">
        <v>242</v>
      </c>
      <c r="E206" t="s">
        <v>22</v>
      </c>
      <c r="F206" s="4">
        <v>3</v>
      </c>
      <c r="G206" s="3">
        <v>309.89999999999998</v>
      </c>
      <c r="H206" s="3" t="str">
        <f>VLOOKUP(Sales!E:E, Table2[#All], 3,FALSE)</f>
        <v>Beauty</v>
      </c>
      <c r="I206" s="3" t="str">
        <f>VLOOKUP(D:D,Table3[#All], 4, FALSE)</f>
        <v>India</v>
      </c>
      <c r="J206" s="2">
        <f>VLOOKUP(D:D,Table3[#All], 5, FALSE)</f>
        <v>45243</v>
      </c>
      <c r="K206" s="2" t="str">
        <f>TEXT(Table1[[#This Row],[SIGNUPDATE]], "mmm, yy")</f>
        <v>Nov, 23</v>
      </c>
      <c r="L206" s="3" t="str">
        <f>IFERROR(VLOOKUP(D:D,Customer_info!A:A, 1, FALSE), "Not found")</f>
        <v>CUST029</v>
      </c>
      <c r="M206" s="3"/>
    </row>
    <row r="207" spans="1:13">
      <c r="A207" t="s">
        <v>348</v>
      </c>
      <c r="B207" s="2">
        <v>45322</v>
      </c>
      <c r="C207" s="1" t="str">
        <f t="shared" si="3"/>
        <v>Jan</v>
      </c>
      <c r="D207" t="s">
        <v>50</v>
      </c>
      <c r="E207" t="s">
        <v>97</v>
      </c>
      <c r="F207" s="4">
        <v>5</v>
      </c>
      <c r="G207" s="3">
        <v>659.2</v>
      </c>
      <c r="H207" s="3" t="str">
        <f>VLOOKUP(Sales!E:E, Table2[#All], 3,FALSE)</f>
        <v>Electronics</v>
      </c>
      <c r="I207" s="3" t="str">
        <f>VLOOKUP(D:D,Table3[#All], 4, FALSE)</f>
        <v>US</v>
      </c>
      <c r="J207" s="2">
        <f>VLOOKUP(D:D,Table3[#All], 5, FALSE)</f>
        <v>44984</v>
      </c>
      <c r="K207" s="2" t="str">
        <f>TEXT(Table1[[#This Row],[SIGNUPDATE]], "mmm, yy")</f>
        <v>Feb, 23</v>
      </c>
      <c r="L207" s="3" t="str">
        <f>IFERROR(VLOOKUP(D:D,Customer_info!A:A, 1, FALSE), "Not found")</f>
        <v>CUST080</v>
      </c>
      <c r="M207" s="3"/>
    </row>
    <row r="208" spans="1:13">
      <c r="A208" t="s">
        <v>349</v>
      </c>
      <c r="B208" s="2">
        <v>45302</v>
      </c>
      <c r="C208" s="1" t="str">
        <f t="shared" si="3"/>
        <v>Jan</v>
      </c>
      <c r="D208" t="s">
        <v>263</v>
      </c>
      <c r="E208" t="s">
        <v>51</v>
      </c>
      <c r="F208" s="4">
        <v>5</v>
      </c>
      <c r="G208" s="3">
        <v>429.25</v>
      </c>
      <c r="H208" s="3" t="str">
        <f>VLOOKUP(Sales!E:E, Table2[#All], 3,FALSE)</f>
        <v>Beauty</v>
      </c>
      <c r="I208" s="3" t="str">
        <f>VLOOKUP(D:D,Table3[#All], 4, FALSE)</f>
        <v>Canada</v>
      </c>
      <c r="J208" s="2">
        <f>VLOOKUP(D:D,Table3[#All], 5, FALSE)</f>
        <v>45179</v>
      </c>
      <c r="K208" s="2" t="str">
        <f>TEXT(Table1[[#This Row],[SIGNUPDATE]], "mmm, yy")</f>
        <v>Sep, 23</v>
      </c>
      <c r="L208" s="3" t="str">
        <f>IFERROR(VLOOKUP(D:D,Customer_info!A:A, 1, FALSE), "Not found")</f>
        <v>CUST067</v>
      </c>
      <c r="M208" s="3"/>
    </row>
    <row r="209" spans="1:13">
      <c r="A209" t="s">
        <v>350</v>
      </c>
      <c r="B209" s="2">
        <v>45428</v>
      </c>
      <c r="C209" s="1" t="str">
        <f t="shared" si="3"/>
        <v>May</v>
      </c>
      <c r="D209" t="s">
        <v>125</v>
      </c>
      <c r="E209" t="s">
        <v>145</v>
      </c>
      <c r="F209" s="4">
        <v>3</v>
      </c>
      <c r="G209" s="3">
        <v>998.7</v>
      </c>
      <c r="H209" s="3" t="str">
        <f>VLOOKUP(Sales!E:E, Table2[#All], 3,FALSE)</f>
        <v>Electronics</v>
      </c>
      <c r="I209" s="3" t="str">
        <f>VLOOKUP(D:D,Table3[#All], 4, FALSE)</f>
        <v>India</v>
      </c>
      <c r="J209" s="2">
        <f>VLOOKUP(D:D,Table3[#All], 5, FALSE)</f>
        <v>45258</v>
      </c>
      <c r="K209" s="2" t="str">
        <f>TEXT(Table1[[#This Row],[SIGNUPDATE]], "mmm, yy")</f>
        <v>Nov, 23</v>
      </c>
      <c r="L209" s="3" t="str">
        <f>IFERROR(VLOOKUP(D:D,Customer_info!A:A, 1, FALSE), "Not found")</f>
        <v>CUST042</v>
      </c>
      <c r="M209" s="3"/>
    </row>
    <row r="210" spans="1:13">
      <c r="A210" t="s">
        <v>351</v>
      </c>
      <c r="B210" s="2">
        <v>45461</v>
      </c>
      <c r="C210" s="1" t="str">
        <f t="shared" si="3"/>
        <v>Jun</v>
      </c>
      <c r="D210" t="s">
        <v>53</v>
      </c>
      <c r="E210" t="s">
        <v>230</v>
      </c>
      <c r="F210" s="4">
        <v>4</v>
      </c>
      <c r="G210" s="3">
        <v>974.52</v>
      </c>
      <c r="H210" s="3" t="str">
        <f>VLOOKUP(Sales!E:E, Table2[#All], 3,FALSE)</f>
        <v>Sports</v>
      </c>
      <c r="I210" s="3" t="str">
        <f>VLOOKUP(D:D,Table3[#All], 4, FALSE)</f>
        <v>India</v>
      </c>
      <c r="J210" s="2">
        <f>VLOOKUP(D:D,Table3[#All], 5, FALSE)</f>
        <v>45143</v>
      </c>
      <c r="K210" s="2" t="str">
        <f>TEXT(Table1[[#This Row],[SIGNUPDATE]], "mmm, yy")</f>
        <v>Aug, 23</v>
      </c>
      <c r="L210" s="3" t="str">
        <f>IFERROR(VLOOKUP(D:D,Customer_info!A:A, 1, FALSE), "Not found")</f>
        <v>CUST071</v>
      </c>
      <c r="M210" s="3"/>
    </row>
    <row r="211" spans="1:13">
      <c r="A211" t="s">
        <v>352</v>
      </c>
      <c r="B211" s="2">
        <v>45309</v>
      </c>
      <c r="C211" s="1" t="str">
        <f t="shared" si="3"/>
        <v>Jan</v>
      </c>
      <c r="D211" t="s">
        <v>197</v>
      </c>
      <c r="E211" t="s">
        <v>113</v>
      </c>
      <c r="F211" s="4">
        <v>3</v>
      </c>
      <c r="G211" s="3">
        <v>681.39</v>
      </c>
      <c r="H211" s="3" t="str">
        <f>VLOOKUP(Sales!E:E, Table2[#All], 3,FALSE)</f>
        <v>Electronics</v>
      </c>
      <c r="I211" s="3" t="str">
        <f>VLOOKUP(D:D,Table3[#All], 4, FALSE)</f>
        <v>UK</v>
      </c>
      <c r="J211" s="2">
        <f>VLOOKUP(D:D,Table3[#All], 5, FALSE)</f>
        <v>45005</v>
      </c>
      <c r="K211" s="2" t="str">
        <f>TEXT(Table1[[#This Row],[SIGNUPDATE]], "mmm, yy")</f>
        <v>Mar, 23</v>
      </c>
      <c r="L211" s="3" t="str">
        <f>IFERROR(VLOOKUP(D:D,Customer_info!A:A, 1, FALSE), "Not found")</f>
        <v>CUST069</v>
      </c>
      <c r="M211" s="3"/>
    </row>
    <row r="212" spans="1:13">
      <c r="A212" t="s">
        <v>353</v>
      </c>
      <c r="B212" s="2">
        <v>45457</v>
      </c>
      <c r="C212" s="1" t="str">
        <f t="shared" si="3"/>
        <v>Jun</v>
      </c>
      <c r="D212" t="s">
        <v>294</v>
      </c>
      <c r="E212" t="s">
        <v>71</v>
      </c>
      <c r="F212" s="4">
        <v>5</v>
      </c>
      <c r="G212" s="3">
        <v>1083.5999999999999</v>
      </c>
      <c r="H212" s="3" t="str">
        <f>VLOOKUP(Sales!E:E, Table2[#All], 3,FALSE)</f>
        <v>Clothing</v>
      </c>
      <c r="I212" s="3" t="str">
        <f>VLOOKUP(D:D,Table3[#All], 4, FALSE)</f>
        <v>US</v>
      </c>
      <c r="J212" s="2">
        <f>VLOOKUP(D:D,Table3[#All], 5, FALSE)</f>
        <v>44930</v>
      </c>
      <c r="K212" s="2" t="str">
        <f>TEXT(Table1[[#This Row],[SIGNUPDATE]], "mmm, yy")</f>
        <v>Jan, 23</v>
      </c>
      <c r="L212" s="3" t="str">
        <f>IFERROR(VLOOKUP(D:D,Customer_info!A:A, 1, FALSE), "Not found")</f>
        <v>CUST016</v>
      </c>
      <c r="M212" s="3"/>
    </row>
    <row r="213" spans="1:13">
      <c r="A213" t="s">
        <v>354</v>
      </c>
      <c r="B213" s="2">
        <v>45295</v>
      </c>
      <c r="C213" s="1" t="str">
        <f t="shared" si="3"/>
        <v>Jan</v>
      </c>
      <c r="D213" t="s">
        <v>201</v>
      </c>
      <c r="E213" t="s">
        <v>80</v>
      </c>
      <c r="F213" s="4">
        <v>3</v>
      </c>
      <c r="G213" s="3">
        <v>1299.8399999999999</v>
      </c>
      <c r="H213" s="3" t="str">
        <f>VLOOKUP(Sales!E:E, Table2[#All], 3,FALSE)</f>
        <v>Beauty</v>
      </c>
      <c r="I213" s="3" t="str">
        <f>VLOOKUP(D:D,Table3[#All], 4, FALSE)</f>
        <v>India</v>
      </c>
      <c r="J213" s="2">
        <f>VLOOKUP(D:D,Table3[#All], 5, FALSE)</f>
        <v>45279</v>
      </c>
      <c r="K213" s="2" t="str">
        <f>TEXT(Table1[[#This Row],[SIGNUPDATE]], "mmm, yy")</f>
        <v>Dec, 23</v>
      </c>
      <c r="L213" s="3" t="str">
        <f>IFERROR(VLOOKUP(D:D,Customer_info!A:A, 1, FALSE), "Not found")</f>
        <v>CUST048</v>
      </c>
      <c r="M213" s="3"/>
    </row>
    <row r="214" spans="1:13">
      <c r="A214" t="s">
        <v>355</v>
      </c>
      <c r="B214" s="2">
        <v>45417</v>
      </c>
      <c r="C214" s="1" t="str">
        <f t="shared" si="3"/>
        <v>May</v>
      </c>
      <c r="D214" t="s">
        <v>112</v>
      </c>
      <c r="E214" t="s">
        <v>147</v>
      </c>
      <c r="F214" s="4">
        <v>4</v>
      </c>
      <c r="G214" s="3">
        <v>1359.8</v>
      </c>
      <c r="H214" s="3" t="str">
        <f>VLOOKUP(Sales!E:E, Table2[#All], 3,FALSE)</f>
        <v>Electronics</v>
      </c>
      <c r="I214" s="3" t="str">
        <f>VLOOKUP(D:D,Table3[#All], 4, FALSE)</f>
        <v>India</v>
      </c>
      <c r="J214" s="2">
        <f>VLOOKUP(D:D,Table3[#All], 5, FALSE)</f>
        <v>45093</v>
      </c>
      <c r="K214" s="2" t="str">
        <f>TEXT(Table1[[#This Row],[SIGNUPDATE]], "mmm, yy")</f>
        <v>Jun, 23</v>
      </c>
      <c r="L214" s="3" t="str">
        <f>IFERROR(VLOOKUP(D:D,Customer_info!A:A, 1, FALSE), "Not found")</f>
        <v>CUST050</v>
      </c>
      <c r="M214" s="3"/>
    </row>
    <row r="215" spans="1:13">
      <c r="A215" t="s">
        <v>356</v>
      </c>
      <c r="B215" s="2">
        <v>45402</v>
      </c>
      <c r="C215" s="1" t="str">
        <f t="shared" si="3"/>
        <v>Apr</v>
      </c>
      <c r="D215" t="s">
        <v>357</v>
      </c>
      <c r="E215" t="s">
        <v>80</v>
      </c>
      <c r="F215" s="4">
        <v>1</v>
      </c>
      <c r="G215" s="3">
        <v>433.28</v>
      </c>
      <c r="H215" s="3" t="str">
        <f>VLOOKUP(Sales!E:E, Table2[#All], 3,FALSE)</f>
        <v>Beauty</v>
      </c>
      <c r="I215" s="3" t="str">
        <f>VLOOKUP(D:D,Table3[#All], 4, FALSE)</f>
        <v>United Kingdom</v>
      </c>
      <c r="J215" s="2">
        <f>VLOOKUP(D:D,Table3[#All], 5, FALSE)</f>
        <v>45270</v>
      </c>
      <c r="K215" s="2" t="str">
        <f>TEXT(Table1[[#This Row],[SIGNUPDATE]], "mmm, yy")</f>
        <v>Dec, 23</v>
      </c>
      <c r="L215" s="3" t="str">
        <f>IFERROR(VLOOKUP(D:D,Customer_info!A:A, 1, FALSE), "Not found")</f>
        <v>CUST040</v>
      </c>
      <c r="M215" s="3"/>
    </row>
    <row r="216" spans="1:13">
      <c r="A216" t="s">
        <v>358</v>
      </c>
      <c r="B216" s="2">
        <v>45454</v>
      </c>
      <c r="C216" s="1" t="str">
        <f t="shared" si="3"/>
        <v>Jun</v>
      </c>
      <c r="D216" t="s">
        <v>127</v>
      </c>
      <c r="E216" t="s">
        <v>145</v>
      </c>
      <c r="F216" s="4">
        <v>3</v>
      </c>
      <c r="G216" s="3">
        <v>998.7</v>
      </c>
      <c r="H216" s="3" t="str">
        <f>VLOOKUP(Sales!E:E, Table2[#All], 3,FALSE)</f>
        <v>Electronics</v>
      </c>
      <c r="I216" s="3" t="str">
        <f>VLOOKUP(D:D,Table3[#All], 4, FALSE)</f>
        <v>Canada</v>
      </c>
      <c r="J216" s="2">
        <f>VLOOKUP(D:D,Table3[#All], 5, FALSE)</f>
        <v>44981</v>
      </c>
      <c r="K216" s="2" t="str">
        <f>TEXT(Table1[[#This Row],[SIGNUPDATE]], "mmm, yy")</f>
        <v>Feb, 23</v>
      </c>
      <c r="L216" s="3" t="str">
        <f>IFERROR(VLOOKUP(D:D,Customer_info!A:A, 1, FALSE), "Not found")</f>
        <v>CUST085</v>
      </c>
      <c r="M216" s="3"/>
    </row>
    <row r="217" spans="1:13">
      <c r="A217" t="s">
        <v>359</v>
      </c>
      <c r="B217" s="2">
        <v>45331</v>
      </c>
      <c r="C217" s="1" t="str">
        <f t="shared" si="3"/>
        <v>Feb</v>
      </c>
      <c r="D217" t="s">
        <v>112</v>
      </c>
      <c r="E217" t="s">
        <v>131</v>
      </c>
      <c r="F217" s="4">
        <v>4</v>
      </c>
      <c r="G217" s="3">
        <v>1351.2</v>
      </c>
      <c r="H217" s="3" t="str">
        <f>VLOOKUP(Sales!E:E, Table2[#All], 3,FALSE)</f>
        <v>Home</v>
      </c>
      <c r="I217" s="3" t="str">
        <f>VLOOKUP(D:D,Table3[#All], 4, FALSE)</f>
        <v>India</v>
      </c>
      <c r="J217" s="2">
        <f>VLOOKUP(D:D,Table3[#All], 5, FALSE)</f>
        <v>45093</v>
      </c>
      <c r="K217" s="2" t="str">
        <f>TEXT(Table1[[#This Row],[SIGNUPDATE]], "mmm, yy")</f>
        <v>Jun, 23</v>
      </c>
      <c r="L217" s="3" t="str">
        <f>IFERROR(VLOOKUP(D:D,Customer_info!A:A, 1, FALSE), "Not found")</f>
        <v>CUST050</v>
      </c>
      <c r="M217" s="3"/>
    </row>
    <row r="218" spans="1:13">
      <c r="A218" t="s">
        <v>360</v>
      </c>
      <c r="B218" s="2">
        <v>45337</v>
      </c>
      <c r="C218" s="1" t="str">
        <f t="shared" si="3"/>
        <v>Feb</v>
      </c>
      <c r="D218" t="s">
        <v>184</v>
      </c>
      <c r="E218" t="s">
        <v>37</v>
      </c>
      <c r="F218" s="4">
        <v>4</v>
      </c>
      <c r="G218" s="3">
        <v>1337.28</v>
      </c>
      <c r="H218" s="3" t="str">
        <f>VLOOKUP(Sales!E:E, Table2[#All], 3,FALSE)</f>
        <v>Sports</v>
      </c>
      <c r="I218" s="3" t="str">
        <f>VLOOKUP(D:D,Table3[#All], 4, FALSE)</f>
        <v>India</v>
      </c>
      <c r="J218" s="2">
        <f>VLOOKUP(D:D,Table3[#All], 5, FALSE)</f>
        <v>45186</v>
      </c>
      <c r="K218" s="2" t="str">
        <f>TEXT(Table1[[#This Row],[SIGNUPDATE]], "mmm, yy")</f>
        <v>Sep, 23</v>
      </c>
      <c r="L218" s="3" t="str">
        <f>IFERROR(VLOOKUP(D:D,Customer_info!A:A, 1, FALSE), "Not found")</f>
        <v>CUST087</v>
      </c>
      <c r="M218" s="3"/>
    </row>
    <row r="219" spans="1:13">
      <c r="A219" t="s">
        <v>361</v>
      </c>
      <c r="B219" s="2">
        <v>45458</v>
      </c>
      <c r="C219" s="1" t="str">
        <f t="shared" si="3"/>
        <v>Jun</v>
      </c>
      <c r="D219" t="s">
        <v>362</v>
      </c>
      <c r="E219" t="s">
        <v>113</v>
      </c>
      <c r="F219" s="4">
        <v>5</v>
      </c>
      <c r="G219" s="3">
        <v>1135.6500000000001</v>
      </c>
      <c r="H219" s="3" t="str">
        <f>VLOOKUP(Sales!E:E, Table2[#All], 3,FALSE)</f>
        <v>Electronics</v>
      </c>
      <c r="I219" s="3" t="str">
        <f>VLOOKUP(D:D,Table3[#All], 4, FALSE)</f>
        <v>India</v>
      </c>
      <c r="J219" s="2">
        <f>VLOOKUP(D:D,Table3[#All], 5, FALSE)</f>
        <v>45201</v>
      </c>
      <c r="K219" s="2" t="str">
        <f>TEXT(Table1[[#This Row],[SIGNUPDATE]], "mmm, yy")</f>
        <v>Oct, 23</v>
      </c>
      <c r="L219" s="3" t="str">
        <f>IFERROR(VLOOKUP(D:D,Customer_info!A:A, 1, FALSE), "Not found")</f>
        <v>CUST078</v>
      </c>
      <c r="M219" s="3"/>
    </row>
    <row r="220" spans="1:13">
      <c r="A220" t="s">
        <v>363</v>
      </c>
      <c r="B220" s="2">
        <v>45449</v>
      </c>
      <c r="C220" s="1" t="str">
        <f t="shared" si="3"/>
        <v>Jun</v>
      </c>
      <c r="D220" t="s">
        <v>171</v>
      </c>
      <c r="E220" t="s">
        <v>107</v>
      </c>
      <c r="F220" s="4">
        <v>3</v>
      </c>
      <c r="G220" s="3">
        <v>147.75</v>
      </c>
      <c r="H220" s="3" t="str">
        <f>VLOOKUP(Sales!E:E, Table2[#All], 3,FALSE)</f>
        <v>Sports</v>
      </c>
      <c r="I220" s="3" t="str">
        <f>VLOOKUP(D:D,Table3[#All], 4, FALSE)</f>
        <v>Canada</v>
      </c>
      <c r="J220" s="2">
        <f>VLOOKUP(D:D,Table3[#All], 5, FALSE)</f>
        <v>45158</v>
      </c>
      <c r="K220" s="2" t="str">
        <f>TEXT(Table1[[#This Row],[SIGNUPDATE]], "mmm, yy")</f>
        <v>Aug, 23</v>
      </c>
      <c r="L220" s="3" t="str">
        <f>IFERROR(VLOOKUP(D:D,Customer_info!A:A, 1, FALSE), "Not found")</f>
        <v>CUST111</v>
      </c>
      <c r="M220" s="3"/>
    </row>
    <row r="221" spans="1:13">
      <c r="A221" t="s">
        <v>364</v>
      </c>
      <c r="B221" s="2">
        <v>45415</v>
      </c>
      <c r="C221" s="1" t="str">
        <f t="shared" si="3"/>
        <v>May</v>
      </c>
      <c r="D221" t="s">
        <v>263</v>
      </c>
      <c r="E221" t="s">
        <v>113</v>
      </c>
      <c r="F221" s="4">
        <v>5</v>
      </c>
      <c r="G221" s="3">
        <v>1135.6500000000001</v>
      </c>
      <c r="H221" s="3" t="str">
        <f>VLOOKUP(Sales!E:E, Table2[#All], 3,FALSE)</f>
        <v>Electronics</v>
      </c>
      <c r="I221" s="3" t="str">
        <f>VLOOKUP(D:D,Table3[#All], 4, FALSE)</f>
        <v>Canada</v>
      </c>
      <c r="J221" s="2">
        <f>VLOOKUP(D:D,Table3[#All], 5, FALSE)</f>
        <v>45179</v>
      </c>
      <c r="K221" s="2" t="str">
        <f>TEXT(Table1[[#This Row],[SIGNUPDATE]], "mmm, yy")</f>
        <v>Sep, 23</v>
      </c>
      <c r="L221" s="3" t="str">
        <f>IFERROR(VLOOKUP(D:D,Customer_info!A:A, 1, FALSE), "Not found")</f>
        <v>CUST067</v>
      </c>
      <c r="M221" s="3"/>
    </row>
    <row r="222" spans="1:13">
      <c r="A222" t="s">
        <v>365</v>
      </c>
      <c r="B222" s="2">
        <v>45403</v>
      </c>
      <c r="C222" s="1" t="str">
        <f t="shared" si="3"/>
        <v>Apr</v>
      </c>
      <c r="D222" t="s">
        <v>366</v>
      </c>
      <c r="E222" t="s">
        <v>113</v>
      </c>
      <c r="F222" s="4">
        <v>4</v>
      </c>
      <c r="G222" s="3">
        <v>908.52</v>
      </c>
      <c r="H222" s="3" t="str">
        <f>VLOOKUP(Sales!E:E, Table2[#All], 3,FALSE)</f>
        <v>Electronics</v>
      </c>
      <c r="I222" s="3" t="str">
        <f>VLOOKUP(D:D,Table3[#All], 4, FALSE)</f>
        <v>India</v>
      </c>
      <c r="J222" s="2">
        <f>VLOOKUP(D:D,Table3[#All], 5, FALSE)</f>
        <v>45014</v>
      </c>
      <c r="K222" s="2" t="str">
        <f>TEXT(Table1[[#This Row],[SIGNUPDATE]], "mmm, yy")</f>
        <v>Mar, 23</v>
      </c>
      <c r="L222" s="3" t="str">
        <f>IFERROR(VLOOKUP(D:D,Customer_info!A:A, 1, FALSE), "Not found")</f>
        <v>CUST044</v>
      </c>
      <c r="M222" s="3"/>
    </row>
    <row r="223" spans="1:13">
      <c r="A223" t="s">
        <v>367</v>
      </c>
      <c r="B223" s="2">
        <v>45360</v>
      </c>
      <c r="C223" s="1" t="str">
        <f t="shared" si="3"/>
        <v>Mar</v>
      </c>
      <c r="D223" t="s">
        <v>309</v>
      </c>
      <c r="E223" t="s">
        <v>62</v>
      </c>
      <c r="F223" s="4">
        <v>5</v>
      </c>
      <c r="G223" s="3">
        <v>289.89999999999998</v>
      </c>
      <c r="H223" s="3" t="str">
        <f>VLOOKUP(Sales!E:E, Table2[#All], 3,FALSE)</f>
        <v>Sports</v>
      </c>
      <c r="I223" s="3" t="str">
        <f>VLOOKUP(D:D,Table3[#All], 4, FALSE)</f>
        <v>US</v>
      </c>
      <c r="J223" s="2">
        <f>VLOOKUP(D:D,Table3[#All], 5, FALSE)</f>
        <v>45103</v>
      </c>
      <c r="K223" s="2" t="str">
        <f>TEXT(Table1[[#This Row],[SIGNUPDATE]], "mmm, yy")</f>
        <v>Jun, 23</v>
      </c>
      <c r="L223" s="3" t="str">
        <f>IFERROR(VLOOKUP(D:D,Customer_info!A:A, 1, FALSE), "Not found")</f>
        <v>CUST023</v>
      </c>
      <c r="M223" s="3"/>
    </row>
    <row r="224" spans="1:13">
      <c r="A224" t="s">
        <v>368</v>
      </c>
      <c r="B224" s="2">
        <v>45354</v>
      </c>
      <c r="C224" s="1" t="str">
        <f t="shared" si="3"/>
        <v>Mar</v>
      </c>
      <c r="D224" t="s">
        <v>306</v>
      </c>
      <c r="E224" t="s">
        <v>113</v>
      </c>
      <c r="F224" s="4">
        <v>3</v>
      </c>
      <c r="G224" s="3">
        <v>681.39</v>
      </c>
      <c r="H224" s="3" t="str">
        <f>VLOOKUP(Sales!E:E, Table2[#All], 3,FALSE)</f>
        <v>Electronics</v>
      </c>
      <c r="I224" s="3" t="str">
        <f>VLOOKUP(D:D,Table3[#All], 4, FALSE)</f>
        <v>Canada</v>
      </c>
      <c r="J224" s="2">
        <f>VLOOKUP(D:D,Table3[#All], 5, FALSE)</f>
        <v>45166</v>
      </c>
      <c r="K224" s="2" t="str">
        <f>TEXT(Table1[[#This Row],[SIGNUPDATE]], "mmm, yy")</f>
        <v>Aug, 23</v>
      </c>
      <c r="L224" s="3" t="str">
        <f>IFERROR(VLOOKUP(D:D,Customer_info!A:A, 1, FALSE), "Not found")</f>
        <v>CUST074</v>
      </c>
      <c r="M224" s="3"/>
    </row>
    <row r="225" spans="1:13">
      <c r="A225" t="s">
        <v>369</v>
      </c>
      <c r="B225" s="2">
        <v>45363</v>
      </c>
      <c r="C225" s="1" t="str">
        <f t="shared" si="3"/>
        <v>Mar</v>
      </c>
      <c r="D225" t="s">
        <v>110</v>
      </c>
      <c r="E225" t="s">
        <v>102</v>
      </c>
      <c r="F225" s="4">
        <v>1</v>
      </c>
      <c r="G225" s="3">
        <v>139.94999999999999</v>
      </c>
      <c r="H225" s="3" t="str">
        <f>VLOOKUP(Sales!E:E, Table2[#All], 3,FALSE)</f>
        <v>Beauty</v>
      </c>
      <c r="I225" s="3" t="str">
        <f>VLOOKUP(D:D,Table3[#All], 4, FALSE)</f>
        <v>United Kingdom</v>
      </c>
      <c r="J225" s="2">
        <f>VLOOKUP(D:D,Table3[#All], 5, FALSE)</f>
        <v>45062</v>
      </c>
      <c r="K225" s="2" t="str">
        <f>TEXT(Table1[[#This Row],[SIGNUPDATE]], "mmm, yy")</f>
        <v>May, 23</v>
      </c>
      <c r="L225" s="3" t="str">
        <f>IFERROR(VLOOKUP(D:D,Customer_info!A:A, 1, FALSE), "Not found")</f>
        <v>CUST059</v>
      </c>
      <c r="M225" s="3"/>
    </row>
    <row r="226" spans="1:13">
      <c r="A226" t="s">
        <v>370</v>
      </c>
      <c r="B226" s="2">
        <v>45354</v>
      </c>
      <c r="C226" s="1" t="str">
        <f t="shared" si="3"/>
        <v>Mar</v>
      </c>
      <c r="D226" t="s">
        <v>134</v>
      </c>
      <c r="E226" t="s">
        <v>48</v>
      </c>
      <c r="F226" s="4">
        <v>4</v>
      </c>
      <c r="G226" s="3">
        <v>1175.2</v>
      </c>
      <c r="H226" s="3" t="str">
        <f>VLOOKUP(Sales!E:E, Table2[#All], 3,FALSE)</f>
        <v>Electronics</v>
      </c>
      <c r="I226" s="3" t="str">
        <f>VLOOKUP(D:D,Table3[#All], 4, FALSE)</f>
        <v>India</v>
      </c>
      <c r="J226" s="2">
        <f>VLOOKUP(D:D,Table3[#All], 5, FALSE)</f>
        <v>45206</v>
      </c>
      <c r="K226" s="2" t="str">
        <f>TEXT(Table1[[#This Row],[SIGNUPDATE]], "mmm, yy")</f>
        <v>Oct, 23</v>
      </c>
      <c r="L226" s="3" t="str">
        <f>IFERROR(VLOOKUP(D:D,Customer_info!A:A, 1, FALSE), "Not found")</f>
        <v>CUST005</v>
      </c>
      <c r="M226" s="3"/>
    </row>
    <row r="227" spans="1:13">
      <c r="A227" t="s">
        <v>371</v>
      </c>
      <c r="B227" s="2">
        <v>45437</v>
      </c>
      <c r="C227" s="1" t="str">
        <f t="shared" si="3"/>
        <v>May</v>
      </c>
      <c r="D227" t="s">
        <v>31</v>
      </c>
      <c r="E227" t="s">
        <v>19</v>
      </c>
      <c r="F227" s="4">
        <v>4</v>
      </c>
      <c r="G227" s="3">
        <v>831.4</v>
      </c>
      <c r="H227" s="3" t="str">
        <f>VLOOKUP(Sales!E:E, Table2[#All], 3,FALSE)</f>
        <v>Clothing</v>
      </c>
      <c r="I227" s="3" t="str">
        <f>VLOOKUP(D:D,Table3[#All], 4, FALSE)</f>
        <v>UK</v>
      </c>
      <c r="J227" s="2">
        <f>VLOOKUP(D:D,Table3[#All], 5, FALSE)</f>
        <v>44974</v>
      </c>
      <c r="K227" s="2" t="str">
        <f>TEXT(Table1[[#This Row],[SIGNUPDATE]], "mmm, yy")</f>
        <v>Feb, 23</v>
      </c>
      <c r="L227" s="3" t="str">
        <f>IFERROR(VLOOKUP(D:D,Customer_info!A:A, 1, FALSE), "Not found")</f>
        <v>CUST021</v>
      </c>
      <c r="M227" s="3"/>
    </row>
    <row r="228" spans="1:13">
      <c r="A228" t="s">
        <v>372</v>
      </c>
      <c r="B228" s="2">
        <v>45463</v>
      </c>
      <c r="C228" s="1" t="str">
        <f t="shared" si="3"/>
        <v>Jun</v>
      </c>
      <c r="D228" t="s">
        <v>138</v>
      </c>
      <c r="E228" t="s">
        <v>71</v>
      </c>
      <c r="F228" s="4">
        <v>5</v>
      </c>
      <c r="G228" s="3">
        <v>1083.5999999999999</v>
      </c>
      <c r="H228" s="3" t="str">
        <f>VLOOKUP(Sales!E:E, Table2[#All], 3,FALSE)</f>
        <v>Clothing</v>
      </c>
      <c r="I228" s="3" t="str">
        <f>VLOOKUP(D:D,Table3[#All], 4, FALSE)</f>
        <v>US</v>
      </c>
      <c r="J228" s="2">
        <f>VLOOKUP(D:D,Table3[#All], 5, FALSE)</f>
        <v>45222</v>
      </c>
      <c r="K228" s="2" t="str">
        <f>TEXT(Table1[[#This Row],[SIGNUPDATE]], "mmm, yy")</f>
        <v>Oct, 23</v>
      </c>
      <c r="L228" s="3" t="str">
        <f>IFERROR(VLOOKUP(D:D,Customer_info!A:A, 1, FALSE), "Not found")</f>
        <v>CUST030</v>
      </c>
      <c r="M228" s="3"/>
    </row>
    <row r="229" spans="1:13">
      <c r="A229" t="s">
        <v>373</v>
      </c>
      <c r="B229" s="2">
        <v>45378</v>
      </c>
      <c r="C229" s="1" t="str">
        <f t="shared" si="3"/>
        <v>Mar</v>
      </c>
      <c r="D229" t="s">
        <v>127</v>
      </c>
      <c r="E229" t="s">
        <v>131</v>
      </c>
      <c r="F229" s="4">
        <v>4</v>
      </c>
      <c r="G229" s="3">
        <v>1351.2</v>
      </c>
      <c r="H229" s="3" t="str">
        <f>VLOOKUP(Sales!E:E, Table2[#All], 3,FALSE)</f>
        <v>Home</v>
      </c>
      <c r="I229" s="3" t="str">
        <f>VLOOKUP(D:D,Table3[#All], 4, FALSE)</f>
        <v>Canada</v>
      </c>
      <c r="J229" s="2">
        <f>VLOOKUP(D:D,Table3[#All], 5, FALSE)</f>
        <v>44981</v>
      </c>
      <c r="K229" s="2" t="str">
        <f>TEXT(Table1[[#This Row],[SIGNUPDATE]], "mmm, yy")</f>
        <v>Feb, 23</v>
      </c>
      <c r="L229" s="3" t="str">
        <f>IFERROR(VLOOKUP(D:D,Customer_info!A:A, 1, FALSE), "Not found")</f>
        <v>CUST085</v>
      </c>
      <c r="M229" s="3"/>
    </row>
    <row r="230" spans="1:13">
      <c r="A230" t="s">
        <v>374</v>
      </c>
      <c r="B230" s="2">
        <v>45418</v>
      </c>
      <c r="C230" s="1" t="str">
        <f t="shared" si="3"/>
        <v>May</v>
      </c>
      <c r="D230" t="s">
        <v>311</v>
      </c>
      <c r="E230" t="s">
        <v>51</v>
      </c>
      <c r="F230" s="4">
        <v>1</v>
      </c>
      <c r="G230" s="3">
        <v>85.85</v>
      </c>
      <c r="H230" s="3" t="str">
        <f>VLOOKUP(Sales!E:E, Table2[#All], 3,FALSE)</f>
        <v>Beauty</v>
      </c>
      <c r="I230" s="3" t="str">
        <f>VLOOKUP(D:D,Table3[#All], 4, FALSE)</f>
        <v>UK</v>
      </c>
      <c r="J230" s="2">
        <f>VLOOKUP(D:D,Table3[#All], 5, FALSE)</f>
        <v>45044</v>
      </c>
      <c r="K230" s="2" t="str">
        <f>TEXT(Table1[[#This Row],[SIGNUPDATE]], "mmm, yy")</f>
        <v>Apr, 23</v>
      </c>
      <c r="L230" s="3" t="str">
        <f>IFERROR(VLOOKUP(D:D,Customer_info!A:A, 1, FALSE), "Not found")</f>
        <v>CUST051</v>
      </c>
      <c r="M230" s="3"/>
    </row>
    <row r="231" spans="1:13">
      <c r="A231" t="s">
        <v>375</v>
      </c>
      <c r="B231" s="2">
        <v>45338</v>
      </c>
      <c r="C231" s="1" t="str">
        <f t="shared" si="3"/>
        <v>Feb</v>
      </c>
      <c r="D231" t="s">
        <v>376</v>
      </c>
      <c r="E231" t="s">
        <v>121</v>
      </c>
      <c r="F231" s="4">
        <v>3</v>
      </c>
      <c r="G231" s="3">
        <v>261.42</v>
      </c>
      <c r="H231" s="3" t="str">
        <f>VLOOKUP(Sales!E:E, Table2[#All], 3,FALSE)</f>
        <v>Sports</v>
      </c>
      <c r="I231" s="3" t="str">
        <f>VLOOKUP(D:D,Table3[#All], 4, FALSE)</f>
        <v>US</v>
      </c>
      <c r="J231" s="2">
        <f>VLOOKUP(D:D,Table3[#All], 5, FALSE)</f>
        <v>45108</v>
      </c>
      <c r="K231" s="2" t="str">
        <f>TEXT(Table1[[#This Row],[SIGNUPDATE]], "mmm, yy")</f>
        <v>Jul, 23</v>
      </c>
      <c r="L231" s="3" t="str">
        <f>IFERROR(VLOOKUP(D:D,Customer_info!A:A, 1, FALSE), "Not found")</f>
        <v>CUST039</v>
      </c>
      <c r="M231" s="3"/>
    </row>
    <row r="232" spans="1:13">
      <c r="A232" t="s">
        <v>377</v>
      </c>
      <c r="B232" s="2">
        <v>45346</v>
      </c>
      <c r="C232" s="1" t="str">
        <f t="shared" si="3"/>
        <v>Feb</v>
      </c>
      <c r="D232" t="s">
        <v>240</v>
      </c>
      <c r="E232" t="s">
        <v>97</v>
      </c>
      <c r="F232" s="4">
        <v>4</v>
      </c>
      <c r="G232" s="3">
        <v>527.36</v>
      </c>
      <c r="H232" s="3" t="str">
        <f>VLOOKUP(Sales!E:E, Table2[#All], 3,FALSE)</f>
        <v>Electronics</v>
      </c>
      <c r="I232" s="3" t="str">
        <f>VLOOKUP(D:D,Table3[#All], 4, FALSE)</f>
        <v>United States</v>
      </c>
      <c r="J232" s="2">
        <f>VLOOKUP(D:D,Table3[#All], 5, FALSE)</f>
        <v>45228</v>
      </c>
      <c r="K232" s="2" t="str">
        <f>TEXT(Table1[[#This Row],[SIGNUPDATE]], "mmm, yy")</f>
        <v>Oct, 23</v>
      </c>
      <c r="L232" s="3" t="str">
        <f>IFERROR(VLOOKUP(D:D,Customer_info!A:A, 1, FALSE), "Not found")</f>
        <v>CUST015</v>
      </c>
      <c r="M232" s="3"/>
    </row>
    <row r="233" spans="1:13">
      <c r="A233" t="s">
        <v>378</v>
      </c>
      <c r="B233" s="2">
        <v>45358</v>
      </c>
      <c r="C233" s="1" t="str">
        <f t="shared" si="3"/>
        <v>Mar</v>
      </c>
      <c r="D233" t="s">
        <v>376</v>
      </c>
      <c r="E233" t="s">
        <v>123</v>
      </c>
      <c r="F233" s="4">
        <v>3</v>
      </c>
      <c r="G233" s="3">
        <v>119.1</v>
      </c>
      <c r="H233" s="3" t="str">
        <f>VLOOKUP(Sales!E:E, Table2[#All], 3,FALSE)</f>
        <v>Electronics</v>
      </c>
      <c r="I233" s="3" t="str">
        <f>VLOOKUP(D:D,Table3[#All], 4, FALSE)</f>
        <v>US</v>
      </c>
      <c r="J233" s="2">
        <f>VLOOKUP(D:D,Table3[#All], 5, FALSE)</f>
        <v>45108</v>
      </c>
      <c r="K233" s="2" t="str">
        <f>TEXT(Table1[[#This Row],[SIGNUPDATE]], "mmm, yy")</f>
        <v>Jul, 23</v>
      </c>
      <c r="L233" s="3" t="str">
        <f>IFERROR(VLOOKUP(D:D,Customer_info!A:A, 1, FALSE), "Not found")</f>
        <v>CUST039</v>
      </c>
      <c r="M233" s="3"/>
    </row>
    <row r="234" spans="1:13">
      <c r="A234" t="s">
        <v>379</v>
      </c>
      <c r="B234" s="2">
        <v>45363</v>
      </c>
      <c r="C234" s="1" t="str">
        <f t="shared" si="3"/>
        <v>Mar</v>
      </c>
      <c r="D234" t="s">
        <v>140</v>
      </c>
      <c r="E234" t="s">
        <v>159</v>
      </c>
      <c r="F234" s="4">
        <v>3</v>
      </c>
      <c r="G234" s="3">
        <v>130.74</v>
      </c>
      <c r="H234" s="3" t="str">
        <f>VLOOKUP(Sales!E:E, Table2[#All], 3,FALSE)</f>
        <v>Clothing</v>
      </c>
      <c r="I234" s="3" t="str">
        <f>VLOOKUP(D:D,Table3[#All], 4, FALSE)</f>
        <v>India</v>
      </c>
      <c r="J234" s="2">
        <f>VLOOKUP(D:D,Table3[#All], 5, FALSE)</f>
        <v>45170</v>
      </c>
      <c r="K234" s="2" t="str">
        <f>TEXT(Table1[[#This Row],[SIGNUPDATE]], "mmm, yy")</f>
        <v>Sep, 23</v>
      </c>
      <c r="L234" s="3" t="str">
        <f>IFERROR(VLOOKUP(D:D,Customer_info!A:A, 1, FALSE), "Not found")</f>
        <v>CUST101</v>
      </c>
      <c r="M234" s="3"/>
    </row>
    <row r="235" spans="1:13">
      <c r="A235" t="s">
        <v>380</v>
      </c>
      <c r="B235" s="2">
        <v>45471</v>
      </c>
      <c r="C235" s="1" t="str">
        <f t="shared" si="3"/>
        <v>Jun</v>
      </c>
      <c r="D235" t="s">
        <v>86</v>
      </c>
      <c r="E235" t="s">
        <v>43</v>
      </c>
      <c r="F235" s="4">
        <v>5</v>
      </c>
      <c r="G235" s="3">
        <v>1363.9</v>
      </c>
      <c r="H235" s="3" t="str">
        <f>VLOOKUP(Sales!E:E, Table2[#All], 3,FALSE)</f>
        <v>Clothing</v>
      </c>
      <c r="I235" s="3" t="str">
        <f>VLOOKUP(D:D,Table3[#All], 4, FALSE)</f>
        <v>United Kingdom</v>
      </c>
      <c r="J235" s="2">
        <f>VLOOKUP(D:D,Table3[#All], 5, FALSE)</f>
        <v>45287</v>
      </c>
      <c r="K235" s="2" t="str">
        <f>TEXT(Table1[[#This Row],[SIGNUPDATE]], "mmm, yy")</f>
        <v>Dec, 23</v>
      </c>
      <c r="L235" s="3" t="str">
        <f>IFERROR(VLOOKUP(D:D,Customer_info!A:A, 1, FALSE), "Not found")</f>
        <v>CUST031</v>
      </c>
      <c r="M235" s="3"/>
    </row>
    <row r="236" spans="1:13">
      <c r="A236" t="s">
        <v>381</v>
      </c>
      <c r="B236" s="2">
        <v>45434</v>
      </c>
      <c r="C236" s="1" t="str">
        <f t="shared" si="3"/>
        <v>May</v>
      </c>
      <c r="D236" t="s">
        <v>301</v>
      </c>
      <c r="E236" t="s">
        <v>43</v>
      </c>
      <c r="F236" s="4">
        <v>3</v>
      </c>
      <c r="G236" s="3">
        <v>818.34</v>
      </c>
      <c r="H236" s="3" t="str">
        <f>VLOOKUP(Sales!E:E, Table2[#All], 3,FALSE)</f>
        <v>Clothing</v>
      </c>
      <c r="I236" s="3" t="str">
        <f>VLOOKUP(D:D,Table3[#All], 4, FALSE)</f>
        <v>US</v>
      </c>
      <c r="J236" s="2">
        <f>VLOOKUP(D:D,Table3[#All], 5, FALSE)</f>
        <v>45197</v>
      </c>
      <c r="K236" s="2" t="str">
        <f>TEXT(Table1[[#This Row],[SIGNUPDATE]], "mmm, yy")</f>
        <v>Sep, 23</v>
      </c>
      <c r="L236" s="3" t="str">
        <f>IFERROR(VLOOKUP(D:D,Customer_info!A:A, 1, FALSE), "Not found")</f>
        <v>CUST103</v>
      </c>
      <c r="M236" s="3"/>
    </row>
    <row r="237" spans="1:13">
      <c r="A237" t="s">
        <v>382</v>
      </c>
      <c r="B237" s="2">
        <v>45424</v>
      </c>
      <c r="C237" s="1" t="str">
        <f t="shared" si="3"/>
        <v>May</v>
      </c>
      <c r="D237" t="s">
        <v>383</v>
      </c>
      <c r="E237" t="s">
        <v>16</v>
      </c>
      <c r="F237" s="4">
        <v>1</v>
      </c>
      <c r="G237" s="3">
        <v>394.46</v>
      </c>
      <c r="H237" s="3" t="str">
        <f>VLOOKUP(Sales!E:E, Table2[#All], 3,FALSE)</f>
        <v>Clothing</v>
      </c>
      <c r="I237" s="3" t="str">
        <f>VLOOKUP(D:D,Table3[#All], 4, FALSE)</f>
        <v>India</v>
      </c>
      <c r="J237" s="2">
        <f>VLOOKUP(D:D,Table3[#All], 5, FALSE)</f>
        <v>45008</v>
      </c>
      <c r="K237" s="2" t="str">
        <f>TEXT(Table1[[#This Row],[SIGNUPDATE]], "mmm, yy")</f>
        <v>Mar, 23</v>
      </c>
      <c r="L237" s="3" t="str">
        <f>IFERROR(VLOOKUP(D:D,Customer_info!A:A, 1, FALSE), "Not found")</f>
        <v>CUST070</v>
      </c>
      <c r="M237" s="3"/>
    </row>
    <row r="238" spans="1:13">
      <c r="A238" t="s">
        <v>384</v>
      </c>
      <c r="B238" s="2">
        <v>45313</v>
      </c>
      <c r="C238" s="1" t="str">
        <f t="shared" si="3"/>
        <v>Jan</v>
      </c>
      <c r="D238" t="s">
        <v>257</v>
      </c>
      <c r="E238" t="s">
        <v>19</v>
      </c>
      <c r="F238" s="4">
        <v>2</v>
      </c>
      <c r="G238" s="3">
        <v>415.7</v>
      </c>
      <c r="H238" s="3" t="str">
        <f>VLOOKUP(Sales!E:E, Table2[#All], 3,FALSE)</f>
        <v>Clothing</v>
      </c>
      <c r="I238" s="3" t="str">
        <f>VLOOKUP(D:D,Table3[#All], 4, FALSE)</f>
        <v>Canada</v>
      </c>
      <c r="J238" s="2">
        <f>VLOOKUP(D:D,Table3[#All], 5, FALSE)</f>
        <v>45052</v>
      </c>
      <c r="K238" s="2" t="str">
        <f>TEXT(Table1[[#This Row],[SIGNUPDATE]], "mmm, yy")</f>
        <v>May, 23</v>
      </c>
      <c r="L238" s="3" t="str">
        <f>IFERROR(VLOOKUP(D:D,Customer_info!A:A, 1, FALSE), "Not found")</f>
        <v>CUST045</v>
      </c>
      <c r="M238" s="3"/>
    </row>
    <row r="239" spans="1:13">
      <c r="A239" t="s">
        <v>385</v>
      </c>
      <c r="B239" s="2">
        <v>45396</v>
      </c>
      <c r="C239" s="1" t="str">
        <f t="shared" si="3"/>
        <v>Apr</v>
      </c>
      <c r="D239" t="s">
        <v>12</v>
      </c>
      <c r="E239" t="s">
        <v>48</v>
      </c>
      <c r="F239" s="4">
        <v>2</v>
      </c>
      <c r="G239" s="3">
        <v>587.6</v>
      </c>
      <c r="H239" s="3" t="str">
        <f>VLOOKUP(Sales!E:E, Table2[#All], 3,FALSE)</f>
        <v>Electronics</v>
      </c>
      <c r="I239" s="3" t="str">
        <f>VLOOKUP(D:D,Table3[#All], 4, FALSE)</f>
        <v>Canada</v>
      </c>
      <c r="J239" s="2">
        <f>VLOOKUP(D:D,Table3[#All], 5, FALSE)</f>
        <v>44927</v>
      </c>
      <c r="K239" s="2" t="str">
        <f>TEXT(Table1[[#This Row],[SIGNUPDATE]], "mmm, yy")</f>
        <v>Jan, 23</v>
      </c>
      <c r="L239" s="3" t="str">
        <f>IFERROR(VLOOKUP(D:D,Customer_info!A:A, 1, FALSE), "Not found")</f>
        <v>CUST091</v>
      </c>
      <c r="M239" s="3"/>
    </row>
    <row r="240" spans="1:13">
      <c r="A240" t="s">
        <v>386</v>
      </c>
      <c r="B240" s="2">
        <v>45434</v>
      </c>
      <c r="C240" s="1" t="str">
        <f t="shared" si="3"/>
        <v>May</v>
      </c>
      <c r="D240" t="s">
        <v>387</v>
      </c>
      <c r="E240" t="s">
        <v>40</v>
      </c>
      <c r="F240" s="4">
        <v>4</v>
      </c>
      <c r="G240" s="3">
        <v>152.04</v>
      </c>
      <c r="H240" s="3" t="str">
        <f>VLOOKUP(Sales!E:E, Table2[#All], 3,FALSE)</f>
        <v>Home</v>
      </c>
      <c r="I240" s="3" t="str">
        <f>VLOOKUP(D:D,Table3[#All], 4, FALSE)</f>
        <v>India</v>
      </c>
      <c r="J240" s="2">
        <f>VLOOKUP(D:D,Table3[#All], 5, FALSE)</f>
        <v>45259</v>
      </c>
      <c r="K240" s="2" t="str">
        <f>TEXT(Table1[[#This Row],[SIGNUPDATE]], "mmm, yy")</f>
        <v>Nov, 23</v>
      </c>
      <c r="L240" s="3" t="str">
        <f>IFERROR(VLOOKUP(D:D,Customer_info!A:A, 1, FALSE), "Not found")</f>
        <v>CUST109</v>
      </c>
      <c r="M240" s="3"/>
    </row>
    <row r="241" spans="1:13">
      <c r="A241" t="s">
        <v>388</v>
      </c>
      <c r="B241" s="2">
        <v>45468</v>
      </c>
      <c r="C241" s="1" t="str">
        <f t="shared" si="3"/>
        <v>Jun</v>
      </c>
      <c r="D241" t="s">
        <v>244</v>
      </c>
      <c r="E241" t="s">
        <v>195</v>
      </c>
      <c r="F241" s="4">
        <v>2</v>
      </c>
      <c r="G241" s="3">
        <v>491.74</v>
      </c>
      <c r="H241" s="3" t="str">
        <f>VLOOKUP(Sales!E:E, Table2[#All], 3,FALSE)</f>
        <v>Beauty</v>
      </c>
      <c r="I241" s="3" t="str">
        <f>VLOOKUP(D:D,Table3[#All], 4, FALSE)</f>
        <v>UK</v>
      </c>
      <c r="J241" s="2">
        <f>VLOOKUP(D:D,Table3[#All], 5, FALSE)</f>
        <v>44974</v>
      </c>
      <c r="K241" s="2" t="str">
        <f>TEXT(Table1[[#This Row],[SIGNUPDATE]], "mmm, yy")</f>
        <v>Feb, 23</v>
      </c>
      <c r="L241" s="3" t="str">
        <f>IFERROR(VLOOKUP(D:D,Customer_info!A:A, 1, FALSE), "Not found")</f>
        <v>CUST008</v>
      </c>
      <c r="M241" s="3"/>
    </row>
    <row r="242" spans="1:13">
      <c r="A242" t="s">
        <v>389</v>
      </c>
      <c r="B242" s="2">
        <v>45457</v>
      </c>
      <c r="C242" s="1" t="str">
        <f t="shared" si="3"/>
        <v>Jun</v>
      </c>
      <c r="D242" t="s">
        <v>390</v>
      </c>
      <c r="E242" t="s">
        <v>131</v>
      </c>
      <c r="F242" s="4">
        <v>4</v>
      </c>
      <c r="G242" s="3">
        <v>1351.2</v>
      </c>
      <c r="H242" s="3" t="str">
        <f>VLOOKUP(Sales!E:E, Table2[#All], 3,FALSE)</f>
        <v>Home</v>
      </c>
      <c r="I242" s="3" t="str">
        <f>VLOOKUP(D:D,Table3[#All], 4, FALSE)</f>
        <v>United Kingdom</v>
      </c>
      <c r="J242" s="2">
        <f>VLOOKUP(D:D,Table3[#All], 5, FALSE)</f>
        <v>44930</v>
      </c>
      <c r="K242" s="2" t="str">
        <f>TEXT(Table1[[#This Row],[SIGNUPDATE]], "mmm, yy")</f>
        <v>Jan, 23</v>
      </c>
      <c r="L242" s="3" t="str">
        <f>IFERROR(VLOOKUP(D:D,Customer_info!A:A, 1, FALSE), "Not found")</f>
        <v>CUST117</v>
      </c>
      <c r="M242" s="3"/>
    </row>
    <row r="243" spans="1:13">
      <c r="A243" t="s">
        <v>391</v>
      </c>
      <c r="B243" s="2">
        <v>45406</v>
      </c>
      <c r="C243" s="1" t="str">
        <f t="shared" si="3"/>
        <v>Apr</v>
      </c>
      <c r="D243" t="s">
        <v>232</v>
      </c>
      <c r="E243" t="s">
        <v>22</v>
      </c>
      <c r="F243" s="4">
        <v>4</v>
      </c>
      <c r="G243" s="3">
        <v>413.2</v>
      </c>
      <c r="H243" s="3" t="str">
        <f>VLOOKUP(Sales!E:E, Table2[#All], 3,FALSE)</f>
        <v>Beauty</v>
      </c>
      <c r="I243" s="3" t="str">
        <f>VLOOKUP(D:D,Table3[#All], 4, FALSE)</f>
        <v>India</v>
      </c>
      <c r="J243" s="2">
        <f>VLOOKUP(D:D,Table3[#All], 5, FALSE)</f>
        <v>44957</v>
      </c>
      <c r="K243" s="2" t="str">
        <f>TEXT(Table1[[#This Row],[SIGNUPDATE]], "mmm, yy")</f>
        <v>Jan, 23</v>
      </c>
      <c r="L243" s="3" t="str">
        <f>IFERROR(VLOOKUP(D:D,Customer_info!A:A, 1, FALSE), "Not found")</f>
        <v>CUST119</v>
      </c>
      <c r="M243" s="3"/>
    </row>
    <row r="244" spans="1:13">
      <c r="A244" t="s">
        <v>392</v>
      </c>
      <c r="B244" s="2">
        <v>45315</v>
      </c>
      <c r="C244" s="1" t="str">
        <f t="shared" si="3"/>
        <v>Jan</v>
      </c>
      <c r="D244" t="s">
        <v>42</v>
      </c>
      <c r="E244" t="s">
        <v>102</v>
      </c>
      <c r="F244" s="4">
        <v>1</v>
      </c>
      <c r="G244" s="3">
        <v>139.94999999999999</v>
      </c>
      <c r="H244" s="3" t="str">
        <f>VLOOKUP(Sales!E:E, Table2[#All], 3,FALSE)</f>
        <v>Beauty</v>
      </c>
      <c r="I244" s="3" t="str">
        <f>VLOOKUP(D:D,Table3[#All], 4, FALSE)</f>
        <v>United States</v>
      </c>
      <c r="J244" s="2">
        <f>VLOOKUP(D:D,Table3[#All], 5, FALSE)</f>
        <v>45064</v>
      </c>
      <c r="K244" s="2" t="str">
        <f>TEXT(Table1[[#This Row],[SIGNUPDATE]], "mmm, yy")</f>
        <v>May, 23</v>
      </c>
      <c r="L244" s="3" t="str">
        <f>IFERROR(VLOOKUP(D:D,Customer_info!A:A, 1, FALSE), "Not found")</f>
        <v>CUST053</v>
      </c>
      <c r="M244" s="3"/>
    </row>
    <row r="245" spans="1:13">
      <c r="A245" t="s">
        <v>393</v>
      </c>
      <c r="B245" s="2">
        <v>45348</v>
      </c>
      <c r="C245" s="1" t="str">
        <f t="shared" si="3"/>
        <v>Feb</v>
      </c>
      <c r="D245" t="s">
        <v>333</v>
      </c>
      <c r="E245" t="s">
        <v>128</v>
      </c>
      <c r="F245" s="4">
        <v>3</v>
      </c>
      <c r="G245" s="3">
        <v>350.01</v>
      </c>
      <c r="H245" s="3" t="str">
        <f>VLOOKUP(Sales!E:E, Table2[#All], 3,FALSE)</f>
        <v>Home</v>
      </c>
      <c r="I245" s="3" t="str">
        <f>VLOOKUP(D:D,Table3[#All], 4, FALSE)</f>
        <v>UK</v>
      </c>
      <c r="J245" s="2">
        <f>VLOOKUP(D:D,Table3[#All], 5, FALSE)</f>
        <v>44951</v>
      </c>
      <c r="K245" s="2" t="str">
        <f>TEXT(Table1[[#This Row],[SIGNUPDATE]], "mmm, yy")</f>
        <v>Jan, 23</v>
      </c>
      <c r="L245" s="3" t="str">
        <f>IFERROR(VLOOKUP(D:D,Customer_info!A:A, 1, FALSE), "Not found")</f>
        <v>CUST068</v>
      </c>
      <c r="M245" s="3"/>
    </row>
    <row r="246" spans="1:13">
      <c r="A246" t="s">
        <v>394</v>
      </c>
      <c r="B246" s="2">
        <v>45469</v>
      </c>
      <c r="C246" s="1" t="str">
        <f t="shared" si="3"/>
        <v>Jun</v>
      </c>
      <c r="D246" t="s">
        <v>395</v>
      </c>
      <c r="E246" t="s">
        <v>259</v>
      </c>
      <c r="F246" s="4">
        <v>4</v>
      </c>
      <c r="G246" s="3">
        <v>782.8</v>
      </c>
      <c r="H246" s="3" t="str">
        <f>VLOOKUP(Sales!E:E, Table2[#All], 3,FALSE)</f>
        <v>Clothing</v>
      </c>
      <c r="I246" s="3" t="str">
        <f>VLOOKUP(D:D,Table3[#All], 4, FALSE)</f>
        <v>US</v>
      </c>
      <c r="J246" s="2">
        <f>VLOOKUP(D:D,Table3[#All], 5, FALSE)</f>
        <v>45049</v>
      </c>
      <c r="K246" s="2" t="str">
        <f>TEXT(Table1[[#This Row],[SIGNUPDATE]], "mmm, yy")</f>
        <v>May, 23</v>
      </c>
      <c r="L246" s="3" t="str">
        <f>IFERROR(VLOOKUP(D:D,Customer_info!A:A, 1, FALSE), "Not found")</f>
        <v>CUST095</v>
      </c>
      <c r="M246" s="3"/>
    </row>
    <row r="247" spans="1:13">
      <c r="A247" t="s">
        <v>396</v>
      </c>
      <c r="B247" s="2">
        <v>45370</v>
      </c>
      <c r="C247" s="1" t="str">
        <f t="shared" si="3"/>
        <v>Mar</v>
      </c>
      <c r="D247" t="s">
        <v>234</v>
      </c>
      <c r="E247" t="s">
        <v>51</v>
      </c>
      <c r="F247" s="4">
        <v>2</v>
      </c>
      <c r="G247" s="3">
        <v>171.7</v>
      </c>
      <c r="H247" s="3" t="str">
        <f>VLOOKUP(Sales!E:E, Table2[#All], 3,FALSE)</f>
        <v>Beauty</v>
      </c>
      <c r="I247" s="3" t="str">
        <f>VLOOKUP(D:D,Table3[#All], 4, FALSE)</f>
        <v>United States</v>
      </c>
      <c r="J247" s="2">
        <f>VLOOKUP(D:D,Table3[#All], 5, FALSE)</f>
        <v>45065</v>
      </c>
      <c r="K247" s="2" t="str">
        <f>TEXT(Table1[[#This Row],[SIGNUPDATE]], "mmm, yy")</f>
        <v>May, 23</v>
      </c>
      <c r="L247" s="3" t="str">
        <f>IFERROR(VLOOKUP(D:D,Customer_info!A:A, 1, FALSE), "Not found")</f>
        <v>CUST047</v>
      </c>
      <c r="M247" s="3"/>
    </row>
    <row r="248" spans="1:13">
      <c r="A248" t="s">
        <v>397</v>
      </c>
      <c r="B248" s="2">
        <v>45386</v>
      </c>
      <c r="C248" s="1" t="str">
        <f t="shared" si="3"/>
        <v>Apr</v>
      </c>
      <c r="D248" t="s">
        <v>263</v>
      </c>
      <c r="E248" t="s">
        <v>303</v>
      </c>
      <c r="F248" s="4">
        <v>5</v>
      </c>
      <c r="G248" s="3">
        <v>1371.1</v>
      </c>
      <c r="H248" s="3" t="str">
        <f>VLOOKUP(Sales!E:E, Table2[#All], 3,FALSE)</f>
        <v>Clothing</v>
      </c>
      <c r="I248" s="3" t="str">
        <f>VLOOKUP(D:D,Table3[#All], 4, FALSE)</f>
        <v>Canada</v>
      </c>
      <c r="J248" s="2">
        <f>VLOOKUP(D:D,Table3[#All], 5, FALSE)</f>
        <v>45179</v>
      </c>
      <c r="K248" s="2" t="str">
        <f>TEXT(Table1[[#This Row],[SIGNUPDATE]], "mmm, yy")</f>
        <v>Sep, 23</v>
      </c>
      <c r="L248" s="3" t="str">
        <f>IFERROR(VLOOKUP(D:D,Customer_info!A:A, 1, FALSE), "Not found")</f>
        <v>CUST067</v>
      </c>
      <c r="M248" s="3"/>
    </row>
    <row r="249" spans="1:13">
      <c r="A249" t="s">
        <v>398</v>
      </c>
      <c r="B249" s="2">
        <v>45433</v>
      </c>
      <c r="C249" s="1" t="str">
        <f t="shared" si="3"/>
        <v>May</v>
      </c>
      <c r="D249" t="s">
        <v>322</v>
      </c>
      <c r="E249" t="s">
        <v>13</v>
      </c>
      <c r="F249" s="4">
        <v>4</v>
      </c>
      <c r="G249" s="3">
        <v>946.76</v>
      </c>
      <c r="H249" s="3" t="str">
        <f>VLOOKUP(Sales!E:E, Table2[#All], 3,FALSE)</f>
        <v>Home</v>
      </c>
      <c r="I249" s="3" t="str">
        <f>VLOOKUP(D:D,Table3[#All], 4, FALSE)</f>
        <v>United States</v>
      </c>
      <c r="J249" s="2">
        <f>VLOOKUP(D:D,Table3[#All], 5, FALSE)</f>
        <v>44976</v>
      </c>
      <c r="K249" s="2" t="str">
        <f>TEXT(Table1[[#This Row],[SIGNUPDATE]], "mmm, yy")</f>
        <v>Feb, 23</v>
      </c>
      <c r="L249" s="3" t="str">
        <f>IFERROR(VLOOKUP(D:D,Customer_info!A:A, 1, FALSE), "Not found")</f>
        <v>CUST022</v>
      </c>
      <c r="M249" s="3"/>
    </row>
    <row r="250" spans="1:13">
      <c r="A250" t="s">
        <v>399</v>
      </c>
      <c r="B250" s="2">
        <v>45380</v>
      </c>
      <c r="C250" s="1" t="str">
        <f t="shared" si="3"/>
        <v>Mar</v>
      </c>
      <c r="D250" t="s">
        <v>88</v>
      </c>
      <c r="E250" t="s">
        <v>54</v>
      </c>
      <c r="F250" s="4">
        <v>5</v>
      </c>
      <c r="G250" s="3">
        <v>653.25</v>
      </c>
      <c r="H250" s="3" t="str">
        <f>VLOOKUP(Sales!E:E, Table2[#All], 3,FALSE)</f>
        <v>Sports</v>
      </c>
      <c r="I250" s="3" t="str">
        <f>VLOOKUP(D:D,Table3[#All], 4, FALSE)</f>
        <v>UK</v>
      </c>
      <c r="J250" s="2">
        <f>VLOOKUP(D:D,Table3[#All], 5, FALSE)</f>
        <v>45067</v>
      </c>
      <c r="K250" s="2" t="str">
        <f>TEXT(Table1[[#This Row],[SIGNUPDATE]], "mmm, yy")</f>
        <v>May, 23</v>
      </c>
      <c r="L250" s="3" t="str">
        <f>IFERROR(VLOOKUP(D:D,Customer_info!A:A, 1, FALSE), "Not found")</f>
        <v>CUST002</v>
      </c>
      <c r="M250" s="3"/>
    </row>
    <row r="251" spans="1:13">
      <c r="A251" t="s">
        <v>400</v>
      </c>
      <c r="B251" s="2">
        <v>45432</v>
      </c>
      <c r="C251" s="1" t="str">
        <f t="shared" si="3"/>
        <v>May</v>
      </c>
      <c r="D251" t="s">
        <v>18</v>
      </c>
      <c r="E251" t="s">
        <v>230</v>
      </c>
      <c r="F251" s="4">
        <v>4</v>
      </c>
      <c r="G251" s="3">
        <v>974.52</v>
      </c>
      <c r="H251" s="3" t="str">
        <f>VLOOKUP(Sales!E:E, Table2[#All], 3,FALSE)</f>
        <v>Sports</v>
      </c>
      <c r="I251" s="3" t="str">
        <f>VLOOKUP(D:D,Table3[#All], 4, FALSE)</f>
        <v>United States</v>
      </c>
      <c r="J251" s="2">
        <f>VLOOKUP(D:D,Table3[#All], 5, FALSE)</f>
        <v>45101</v>
      </c>
      <c r="K251" s="2" t="str">
        <f>TEXT(Table1[[#This Row],[SIGNUPDATE]], "mmm, yy")</f>
        <v>Jun, 23</v>
      </c>
      <c r="L251" s="3" t="str">
        <f>IFERROR(VLOOKUP(D:D,Customer_info!A:A, 1, FALSE), "Not found")</f>
        <v>CUST018</v>
      </c>
      <c r="M251" s="3"/>
    </row>
    <row r="252" spans="1:13">
      <c r="A252" t="s">
        <v>401</v>
      </c>
      <c r="B252" s="2">
        <v>45382</v>
      </c>
      <c r="C252" s="1" t="str">
        <f t="shared" si="3"/>
        <v>Mar</v>
      </c>
      <c r="D252" t="s">
        <v>158</v>
      </c>
      <c r="E252" t="s">
        <v>230</v>
      </c>
      <c r="F252" s="4">
        <v>3</v>
      </c>
      <c r="G252" s="3">
        <v>730.89</v>
      </c>
      <c r="H252" s="3" t="str">
        <f>VLOOKUP(Sales!E:E, Table2[#All], 3,FALSE)</f>
        <v>Sports</v>
      </c>
      <c r="I252" s="3" t="str">
        <f>VLOOKUP(D:D,Table3[#All], 4, FALSE)</f>
        <v>US</v>
      </c>
      <c r="J252" s="2">
        <f>VLOOKUP(D:D,Table3[#All], 5, FALSE)</f>
        <v>45255</v>
      </c>
      <c r="K252" s="2" t="str">
        <f>TEXT(Table1[[#This Row],[SIGNUPDATE]], "mmm, yy")</f>
        <v>Nov, 23</v>
      </c>
      <c r="L252" s="3" t="str">
        <f>IFERROR(VLOOKUP(D:D,Customer_info!A:A, 1, FALSE), "Not found")</f>
        <v>CUST079</v>
      </c>
      <c r="M252" s="3"/>
    </row>
    <row r="253" spans="1:13">
      <c r="A253" t="s">
        <v>402</v>
      </c>
      <c r="B253" s="2">
        <v>45361</v>
      </c>
      <c r="C253" s="1" t="str">
        <f t="shared" si="3"/>
        <v>Mar</v>
      </c>
      <c r="D253" t="s">
        <v>73</v>
      </c>
      <c r="E253" t="s">
        <v>62</v>
      </c>
      <c r="F253" s="4">
        <v>4</v>
      </c>
      <c r="G253" s="3">
        <v>231.92</v>
      </c>
      <c r="H253" s="3" t="str">
        <f>VLOOKUP(Sales!E:E, Table2[#All], 3,FALSE)</f>
        <v>Sports</v>
      </c>
      <c r="I253" s="3" t="str">
        <f>VLOOKUP(D:D,Table3[#All], 4, FALSE)</f>
        <v>India</v>
      </c>
      <c r="J253" s="2">
        <f>VLOOKUP(D:D,Table3[#All], 5, FALSE)</f>
        <v>44984</v>
      </c>
      <c r="K253" s="2" t="str">
        <f>TEXT(Table1[[#This Row],[SIGNUPDATE]], "mmm, yy")</f>
        <v>Feb, 23</v>
      </c>
      <c r="L253" s="3" t="str">
        <f>IFERROR(VLOOKUP(D:D,Customer_info!A:A, 1, FALSE), "Not found")</f>
        <v>CUST001</v>
      </c>
      <c r="M253" s="3"/>
    </row>
    <row r="254" spans="1:13">
      <c r="A254" t="s">
        <v>403</v>
      </c>
      <c r="B254" s="2">
        <v>45356</v>
      </c>
      <c r="C254" s="1" t="str">
        <f t="shared" si="3"/>
        <v>Mar</v>
      </c>
      <c r="D254" t="s">
        <v>92</v>
      </c>
      <c r="E254" t="s">
        <v>97</v>
      </c>
      <c r="F254" s="4">
        <v>3</v>
      </c>
      <c r="G254" s="3">
        <v>395.52</v>
      </c>
      <c r="H254" s="3" t="str">
        <f>VLOOKUP(Sales!E:E, Table2[#All], 3,FALSE)</f>
        <v>Electronics</v>
      </c>
      <c r="I254" s="3" t="str">
        <f>VLOOKUP(D:D,Table3[#All], 4, FALSE)</f>
        <v>United States</v>
      </c>
      <c r="J254" s="2">
        <f>VLOOKUP(D:D,Table3[#All], 5, FALSE)</f>
        <v>45122</v>
      </c>
      <c r="K254" s="2" t="str">
        <f>TEXT(Table1[[#This Row],[SIGNUPDATE]], "mmm, yy")</f>
        <v>Jul, 23</v>
      </c>
      <c r="L254" s="3" t="str">
        <f>IFERROR(VLOOKUP(D:D,Customer_info!A:A, 1, FALSE), "Not found")</f>
        <v>CUST073</v>
      </c>
      <c r="M254" s="3"/>
    </row>
    <row r="255" spans="1:13">
      <c r="A255" t="s">
        <v>404</v>
      </c>
      <c r="B255" s="2">
        <v>45322</v>
      </c>
      <c r="C255" s="1" t="str">
        <f t="shared" si="3"/>
        <v>Jan</v>
      </c>
      <c r="D255" t="s">
        <v>66</v>
      </c>
      <c r="E255" t="s">
        <v>159</v>
      </c>
      <c r="F255" s="4">
        <v>2</v>
      </c>
      <c r="G255" s="3">
        <v>87.16</v>
      </c>
      <c r="H255" s="3" t="str">
        <f>VLOOKUP(Sales!E:E, Table2[#All], 3,FALSE)</f>
        <v>Clothing</v>
      </c>
      <c r="I255" s="3" t="str">
        <f>VLOOKUP(D:D,Table3[#All], 4, FALSE)</f>
        <v>Canada</v>
      </c>
      <c r="J255" s="2">
        <f>VLOOKUP(D:D,Table3[#All], 5, FALSE)</f>
        <v>45143</v>
      </c>
      <c r="K255" s="2" t="str">
        <f>TEXT(Table1[[#This Row],[SIGNUPDATE]], "mmm, yy")</f>
        <v>Aug, 23</v>
      </c>
      <c r="L255" s="3" t="str">
        <f>IFERROR(VLOOKUP(D:D,Customer_info!A:A, 1, FALSE), "Not found")</f>
        <v>CUST104</v>
      </c>
      <c r="M255" s="3"/>
    </row>
    <row r="256" spans="1:13">
      <c r="A256" t="s">
        <v>405</v>
      </c>
      <c r="B256" s="2">
        <v>45372</v>
      </c>
      <c r="C256" s="1" t="str">
        <f t="shared" si="3"/>
        <v>Mar</v>
      </c>
      <c r="D256" t="s">
        <v>383</v>
      </c>
      <c r="E256" t="s">
        <v>195</v>
      </c>
      <c r="F256" s="4">
        <v>2</v>
      </c>
      <c r="G256" s="3">
        <v>491.74</v>
      </c>
      <c r="H256" s="3" t="str">
        <f>VLOOKUP(Sales!E:E, Table2[#All], 3,FALSE)</f>
        <v>Beauty</v>
      </c>
      <c r="I256" s="3" t="str">
        <f>VLOOKUP(D:D,Table3[#All], 4, FALSE)</f>
        <v>India</v>
      </c>
      <c r="J256" s="2">
        <f>VLOOKUP(D:D,Table3[#All], 5, FALSE)</f>
        <v>45008</v>
      </c>
      <c r="K256" s="2" t="str">
        <f>TEXT(Table1[[#This Row],[SIGNUPDATE]], "mmm, yy")</f>
        <v>Mar, 23</v>
      </c>
      <c r="L256" s="3" t="str">
        <f>IFERROR(VLOOKUP(D:D,Customer_info!A:A, 1, FALSE), "Not found")</f>
        <v>CUST070</v>
      </c>
      <c r="M256" s="3"/>
    </row>
    <row r="257" spans="1:13">
      <c r="A257" t="s">
        <v>406</v>
      </c>
      <c r="B257" s="2">
        <v>45429</v>
      </c>
      <c r="C257" s="1" t="str">
        <f t="shared" si="3"/>
        <v>May</v>
      </c>
      <c r="D257" t="s">
        <v>309</v>
      </c>
      <c r="E257" t="s">
        <v>159</v>
      </c>
      <c r="F257" s="4">
        <v>1</v>
      </c>
      <c r="G257" s="3">
        <v>43.58</v>
      </c>
      <c r="H257" s="3" t="str">
        <f>VLOOKUP(Sales!E:E, Table2[#All], 3,FALSE)</f>
        <v>Clothing</v>
      </c>
      <c r="I257" s="3" t="str">
        <f>VLOOKUP(D:D,Table3[#All], 4, FALSE)</f>
        <v>US</v>
      </c>
      <c r="J257" s="2">
        <f>VLOOKUP(D:D,Table3[#All], 5, FALSE)</f>
        <v>45103</v>
      </c>
      <c r="K257" s="2" t="str">
        <f>TEXT(Table1[[#This Row],[SIGNUPDATE]], "mmm, yy")</f>
        <v>Jun, 23</v>
      </c>
      <c r="L257" s="3" t="str">
        <f>IFERROR(VLOOKUP(D:D,Customer_info!A:A, 1, FALSE), "Not found")</f>
        <v>CUST023</v>
      </c>
      <c r="M257" s="3"/>
    </row>
    <row r="258" spans="1:13">
      <c r="A258" t="s">
        <v>407</v>
      </c>
      <c r="B258" s="2">
        <v>45341</v>
      </c>
      <c r="C258" s="1" t="str">
        <f t="shared" si="3"/>
        <v>Feb</v>
      </c>
      <c r="D258" t="s">
        <v>317</v>
      </c>
      <c r="E258" t="s">
        <v>131</v>
      </c>
      <c r="F258" s="4">
        <v>2</v>
      </c>
      <c r="G258" s="3">
        <v>675.6</v>
      </c>
      <c r="H258" s="3" t="str">
        <f>VLOOKUP(Sales!E:E, Table2[#All], 3,FALSE)</f>
        <v>Home</v>
      </c>
      <c r="I258" s="3" t="str">
        <f>VLOOKUP(D:D,Table3[#All], 4, FALSE)</f>
        <v>UK</v>
      </c>
      <c r="J258" s="2">
        <f>VLOOKUP(D:D,Table3[#All], 5, FALSE)</f>
        <v>45289</v>
      </c>
      <c r="K258" s="2" t="str">
        <f>TEXT(Table1[[#This Row],[SIGNUPDATE]], "mmm, yy")</f>
        <v>Dec, 23</v>
      </c>
      <c r="L258" s="3" t="str">
        <f>IFERROR(VLOOKUP(D:D,Customer_info!A:A, 1, FALSE), "Not found")</f>
        <v>CUST118</v>
      </c>
      <c r="M258" s="3"/>
    </row>
    <row r="259" spans="1:13">
      <c r="A259" t="s">
        <v>408</v>
      </c>
      <c r="B259" s="2">
        <v>45415</v>
      </c>
      <c r="C259" s="1" t="str">
        <f t="shared" si="3"/>
        <v>May</v>
      </c>
      <c r="D259" t="s">
        <v>409</v>
      </c>
      <c r="E259" t="s">
        <v>128</v>
      </c>
      <c r="F259" s="4">
        <v>2</v>
      </c>
      <c r="G259" s="3">
        <v>233.34</v>
      </c>
      <c r="H259" s="3" t="str">
        <f>VLOOKUP(Sales!E:E, Table2[#All], 3,FALSE)</f>
        <v>Home</v>
      </c>
      <c r="I259" s="3" t="str">
        <f>VLOOKUP(D:D,Table3[#All], 4, FALSE)</f>
        <v>United Kingdom</v>
      </c>
      <c r="J259" s="2">
        <f>VLOOKUP(D:D,Table3[#All], 5, FALSE)</f>
        <v>44979</v>
      </c>
      <c r="K259" s="2" t="str">
        <f>TEXT(Table1[[#This Row],[SIGNUPDATE]], "mmm, yy")</f>
        <v>Feb, 23</v>
      </c>
      <c r="L259" s="3" t="str">
        <f>IFERROR(VLOOKUP(D:D,Customer_info!A:A, 1, FALSE), "Not found")</f>
        <v>CUST004</v>
      </c>
      <c r="M259" s="3"/>
    </row>
    <row r="260" spans="1:13">
      <c r="A260" t="s">
        <v>410</v>
      </c>
      <c r="B260" s="2">
        <v>45442</v>
      </c>
      <c r="C260" s="1" t="str">
        <f t="shared" ref="C260:C323" si="4">TEXT(B260, "mmm")</f>
        <v>May</v>
      </c>
      <c r="D260" t="s">
        <v>309</v>
      </c>
      <c r="E260" t="s">
        <v>145</v>
      </c>
      <c r="F260" s="4">
        <v>3</v>
      </c>
      <c r="G260" s="3">
        <v>998.7</v>
      </c>
      <c r="H260" s="3" t="str">
        <f>VLOOKUP(Sales!E:E, Table2[#All], 3,FALSE)</f>
        <v>Electronics</v>
      </c>
      <c r="I260" s="3" t="str">
        <f>VLOOKUP(D:D,Table3[#All], 4, FALSE)</f>
        <v>US</v>
      </c>
      <c r="J260" s="2">
        <f>VLOOKUP(D:D,Table3[#All], 5, FALSE)</f>
        <v>45103</v>
      </c>
      <c r="K260" s="2" t="str">
        <f>TEXT(Table1[[#This Row],[SIGNUPDATE]], "mmm, yy")</f>
        <v>Jun, 23</v>
      </c>
      <c r="L260" s="3" t="str">
        <f>IFERROR(VLOOKUP(D:D,Customer_info!A:A, 1, FALSE), "Not found")</f>
        <v>CUST023</v>
      </c>
      <c r="M260" s="3"/>
    </row>
    <row r="261" spans="1:13">
      <c r="A261" t="s">
        <v>411</v>
      </c>
      <c r="B261" s="2">
        <v>45444</v>
      </c>
      <c r="C261" s="1" t="str">
        <f t="shared" si="4"/>
        <v>Jun</v>
      </c>
      <c r="D261" t="s">
        <v>88</v>
      </c>
      <c r="E261" t="s">
        <v>123</v>
      </c>
      <c r="F261" s="4">
        <v>5</v>
      </c>
      <c r="G261" s="3">
        <v>198.5</v>
      </c>
      <c r="H261" s="3" t="str">
        <f>VLOOKUP(Sales!E:E, Table2[#All], 3,FALSE)</f>
        <v>Electronics</v>
      </c>
      <c r="I261" s="3" t="str">
        <f>VLOOKUP(D:D,Table3[#All], 4, FALSE)</f>
        <v>UK</v>
      </c>
      <c r="J261" s="2">
        <f>VLOOKUP(D:D,Table3[#All], 5, FALSE)</f>
        <v>45067</v>
      </c>
      <c r="K261" s="2" t="str">
        <f>TEXT(Table1[[#This Row],[SIGNUPDATE]], "mmm, yy")</f>
        <v>May, 23</v>
      </c>
      <c r="L261" s="3" t="str">
        <f>IFERROR(VLOOKUP(D:D,Customer_info!A:A, 1, FALSE), "Not found")</f>
        <v>CUST002</v>
      </c>
      <c r="M261" s="3"/>
    </row>
    <row r="262" spans="1:13">
      <c r="A262" t="s">
        <v>412</v>
      </c>
      <c r="B262" s="2">
        <v>45317</v>
      </c>
      <c r="C262" s="1" t="str">
        <f t="shared" si="4"/>
        <v>Jan</v>
      </c>
      <c r="D262" t="s">
        <v>311</v>
      </c>
      <c r="E262" t="s">
        <v>19</v>
      </c>
      <c r="F262" s="4">
        <v>3</v>
      </c>
      <c r="G262" s="3">
        <v>623.54999999999995</v>
      </c>
      <c r="H262" s="3" t="str">
        <f>VLOOKUP(Sales!E:E, Table2[#All], 3,FALSE)</f>
        <v>Clothing</v>
      </c>
      <c r="I262" s="3" t="str">
        <f>VLOOKUP(D:D,Table3[#All], 4, FALSE)</f>
        <v>UK</v>
      </c>
      <c r="J262" s="2">
        <f>VLOOKUP(D:D,Table3[#All], 5, FALSE)</f>
        <v>45044</v>
      </c>
      <c r="K262" s="2" t="str">
        <f>TEXT(Table1[[#This Row],[SIGNUPDATE]], "mmm, yy")</f>
        <v>Apr, 23</v>
      </c>
      <c r="L262" s="3" t="str">
        <f>IFERROR(VLOOKUP(D:D,Customer_info!A:A, 1, FALSE), "Not found")</f>
        <v>CUST051</v>
      </c>
      <c r="M262" s="3"/>
    </row>
    <row r="263" spans="1:13">
      <c r="A263" t="s">
        <v>413</v>
      </c>
      <c r="B263" s="2">
        <v>45367</v>
      </c>
      <c r="C263" s="1" t="str">
        <f t="shared" si="4"/>
        <v>Mar</v>
      </c>
      <c r="D263" t="s">
        <v>240</v>
      </c>
      <c r="E263" t="s">
        <v>259</v>
      </c>
      <c r="F263" s="4">
        <v>2</v>
      </c>
      <c r="G263" s="3">
        <v>391.4</v>
      </c>
      <c r="H263" s="3" t="str">
        <f>VLOOKUP(Sales!E:E, Table2[#All], 3,FALSE)</f>
        <v>Clothing</v>
      </c>
      <c r="I263" s="3" t="str">
        <f>VLOOKUP(D:D,Table3[#All], 4, FALSE)</f>
        <v>United States</v>
      </c>
      <c r="J263" s="2">
        <f>VLOOKUP(D:D,Table3[#All], 5, FALSE)</f>
        <v>45228</v>
      </c>
      <c r="K263" s="2" t="str">
        <f>TEXT(Table1[[#This Row],[SIGNUPDATE]], "mmm, yy")</f>
        <v>Oct, 23</v>
      </c>
      <c r="L263" s="3" t="str">
        <f>IFERROR(VLOOKUP(D:D,Customer_info!A:A, 1, FALSE), "Not found")</f>
        <v>CUST015</v>
      </c>
      <c r="M263" s="3"/>
    </row>
    <row r="264" spans="1:13">
      <c r="A264" t="s">
        <v>414</v>
      </c>
      <c r="B264" s="2">
        <v>45384</v>
      </c>
      <c r="C264" s="1" t="str">
        <f t="shared" si="4"/>
        <v>Apr</v>
      </c>
      <c r="D264" t="s">
        <v>257</v>
      </c>
      <c r="E264" t="s">
        <v>97</v>
      </c>
      <c r="F264" s="4">
        <v>2</v>
      </c>
      <c r="G264" s="3">
        <v>263.68</v>
      </c>
      <c r="H264" s="3" t="str">
        <f>VLOOKUP(Sales!E:E, Table2[#All], 3,FALSE)</f>
        <v>Electronics</v>
      </c>
      <c r="I264" s="3" t="str">
        <f>VLOOKUP(D:D,Table3[#All], 4, FALSE)</f>
        <v>Canada</v>
      </c>
      <c r="J264" s="2">
        <f>VLOOKUP(D:D,Table3[#All], 5, FALSE)</f>
        <v>45052</v>
      </c>
      <c r="K264" s="2" t="str">
        <f>TEXT(Table1[[#This Row],[SIGNUPDATE]], "mmm, yy")</f>
        <v>May, 23</v>
      </c>
      <c r="L264" s="3" t="str">
        <f>IFERROR(VLOOKUP(D:D,Customer_info!A:A, 1, FALSE), "Not found")</f>
        <v>CUST045</v>
      </c>
      <c r="M264" s="3"/>
    </row>
    <row r="265" spans="1:13">
      <c r="A265" t="s">
        <v>415</v>
      </c>
      <c r="B265" s="2">
        <v>45369</v>
      </c>
      <c r="C265" s="1" t="str">
        <f t="shared" si="4"/>
        <v>Mar</v>
      </c>
      <c r="D265" t="s">
        <v>294</v>
      </c>
      <c r="E265" t="s">
        <v>54</v>
      </c>
      <c r="F265" s="4">
        <v>2</v>
      </c>
      <c r="G265" s="3">
        <v>261.3</v>
      </c>
      <c r="H265" s="3" t="str">
        <f>VLOOKUP(Sales!E:E, Table2[#All], 3,FALSE)</f>
        <v>Sports</v>
      </c>
      <c r="I265" s="3" t="str">
        <f>VLOOKUP(D:D,Table3[#All], 4, FALSE)</f>
        <v>US</v>
      </c>
      <c r="J265" s="2">
        <f>VLOOKUP(D:D,Table3[#All], 5, FALSE)</f>
        <v>44930</v>
      </c>
      <c r="K265" s="2" t="str">
        <f>TEXT(Table1[[#This Row],[SIGNUPDATE]], "mmm, yy")</f>
        <v>Jan, 23</v>
      </c>
      <c r="L265" s="3" t="str">
        <f>IFERROR(VLOOKUP(D:D,Customer_info!A:A, 1, FALSE), "Not found")</f>
        <v>CUST016</v>
      </c>
      <c r="M265" s="3"/>
    </row>
    <row r="266" spans="1:13">
      <c r="A266" t="s">
        <v>416</v>
      </c>
      <c r="B266" s="2">
        <v>45428</v>
      </c>
      <c r="C266" s="1" t="str">
        <f t="shared" si="4"/>
        <v>May</v>
      </c>
      <c r="D266" t="s">
        <v>69</v>
      </c>
      <c r="E266" t="s">
        <v>25</v>
      </c>
      <c r="F266" s="4">
        <v>1</v>
      </c>
      <c r="G266" s="3">
        <v>149.77000000000001</v>
      </c>
      <c r="H266" s="3" t="str">
        <f>VLOOKUP(Sales!E:E, Table2[#All], 3,FALSE)</f>
        <v>Beauty</v>
      </c>
      <c r="I266" s="3" t="str">
        <f>VLOOKUP(D:D,Table3[#All], 4, FALSE)</f>
        <v>United States</v>
      </c>
      <c r="J266" s="2">
        <f>VLOOKUP(D:D,Table3[#All], 5, FALSE)</f>
        <v>44967</v>
      </c>
      <c r="K266" s="2" t="str">
        <f>TEXT(Table1[[#This Row],[SIGNUPDATE]], "mmm, yy")</f>
        <v>Feb, 23</v>
      </c>
      <c r="L266" s="3" t="str">
        <f>IFERROR(VLOOKUP(D:D,Customer_info!A:A, 1, FALSE), "Not found")</f>
        <v>CUST027</v>
      </c>
      <c r="M266" s="3"/>
    </row>
    <row r="267" spans="1:13">
      <c r="A267" t="s">
        <v>417</v>
      </c>
      <c r="B267" s="2">
        <v>45362</v>
      </c>
      <c r="C267" s="1" t="str">
        <f t="shared" si="4"/>
        <v>Mar</v>
      </c>
      <c r="D267" t="s">
        <v>88</v>
      </c>
      <c r="E267" t="s">
        <v>128</v>
      </c>
      <c r="F267" s="4">
        <v>2</v>
      </c>
      <c r="G267" s="3">
        <v>233.34</v>
      </c>
      <c r="H267" s="3" t="str">
        <f>VLOOKUP(Sales!E:E, Table2[#All], 3,FALSE)</f>
        <v>Home</v>
      </c>
      <c r="I267" s="3" t="str">
        <f>VLOOKUP(D:D,Table3[#All], 4, FALSE)</f>
        <v>UK</v>
      </c>
      <c r="J267" s="2">
        <f>VLOOKUP(D:D,Table3[#All], 5, FALSE)</f>
        <v>45067</v>
      </c>
      <c r="K267" s="2" t="str">
        <f>TEXT(Table1[[#This Row],[SIGNUPDATE]], "mmm, yy")</f>
        <v>May, 23</v>
      </c>
      <c r="L267" s="3" t="str">
        <f>IFERROR(VLOOKUP(D:D,Customer_info!A:A, 1, FALSE), "Not found")</f>
        <v>CUST002</v>
      </c>
      <c r="M267" s="3"/>
    </row>
    <row r="268" spans="1:13">
      <c r="A268" t="s">
        <v>418</v>
      </c>
      <c r="B268" s="2">
        <v>45305</v>
      </c>
      <c r="C268" s="1" t="str">
        <f t="shared" si="4"/>
        <v>Jan</v>
      </c>
      <c r="D268" t="s">
        <v>213</v>
      </c>
      <c r="E268" t="s">
        <v>80</v>
      </c>
      <c r="F268" s="4">
        <v>1</v>
      </c>
      <c r="G268" s="3">
        <v>433.28</v>
      </c>
      <c r="H268" s="3" t="str">
        <f>VLOOKUP(Sales!E:E, Table2[#All], 3,FALSE)</f>
        <v>Beauty</v>
      </c>
      <c r="I268" s="3" t="str">
        <f>VLOOKUP(D:D,Table3[#All], 4, FALSE)</f>
        <v>United Kingdom</v>
      </c>
      <c r="J268" s="2">
        <f>VLOOKUP(D:D,Table3[#All], 5, FALSE)</f>
        <v>45163</v>
      </c>
      <c r="K268" s="2" t="str">
        <f>TEXT(Table1[[#This Row],[SIGNUPDATE]], "mmm, yy")</f>
        <v>Aug, 23</v>
      </c>
      <c r="L268" s="3" t="str">
        <f>IFERROR(VLOOKUP(D:D,Customer_info!A:A, 1, FALSE), "Not found")</f>
        <v>CUST046</v>
      </c>
      <c r="M268" s="3"/>
    </row>
    <row r="269" spans="1:13">
      <c r="A269" t="s">
        <v>419</v>
      </c>
      <c r="B269" s="2">
        <v>45366</v>
      </c>
      <c r="C269" s="1" t="str">
        <f t="shared" si="4"/>
        <v>Mar</v>
      </c>
      <c r="D269" t="s">
        <v>104</v>
      </c>
      <c r="E269" t="s">
        <v>128</v>
      </c>
      <c r="F269" s="4">
        <v>5</v>
      </c>
      <c r="G269" s="3">
        <v>583.35</v>
      </c>
      <c r="H269" s="3" t="str">
        <f>VLOOKUP(Sales!E:E, Table2[#All], 3,FALSE)</f>
        <v>Home</v>
      </c>
      <c r="I269" s="3" t="str">
        <f>VLOOKUP(D:D,Table3[#All], 4, FALSE)</f>
        <v>United Kingdom</v>
      </c>
      <c r="J269" s="2">
        <f>VLOOKUP(D:D,Table3[#All], 5, FALSE)</f>
        <v>44992</v>
      </c>
      <c r="K269" s="2" t="str">
        <f>TEXT(Table1[[#This Row],[SIGNUPDATE]], "mmm, yy")</f>
        <v>Mar, 23</v>
      </c>
      <c r="L269" s="3" t="str">
        <f>IFERROR(VLOOKUP(D:D,Customer_info!A:A, 1, FALSE), "Not found")</f>
        <v>CUST100</v>
      </c>
      <c r="M269" s="3"/>
    </row>
    <row r="270" spans="1:13">
      <c r="A270" t="s">
        <v>420</v>
      </c>
      <c r="B270" s="2">
        <v>45455</v>
      </c>
      <c r="C270" s="1" t="str">
        <f t="shared" si="4"/>
        <v>Jun</v>
      </c>
      <c r="D270" t="s">
        <v>421</v>
      </c>
      <c r="E270" t="s">
        <v>259</v>
      </c>
      <c r="F270" s="4">
        <v>2</v>
      </c>
      <c r="G270" s="3">
        <v>391.4</v>
      </c>
      <c r="H270" s="3" t="str">
        <f>VLOOKUP(Sales!E:E, Table2[#All], 3,FALSE)</f>
        <v>Clothing</v>
      </c>
      <c r="I270" s="3" t="str">
        <f>VLOOKUP(D:D,Table3[#All], 4, FALSE)</f>
        <v>India</v>
      </c>
      <c r="J270" s="2">
        <f>VLOOKUP(D:D,Table3[#All], 5, FALSE)</f>
        <v>45043</v>
      </c>
      <c r="K270" s="2" t="str">
        <f>TEXT(Table1[[#This Row],[SIGNUPDATE]], "mmm, yy")</f>
        <v>Apr, 23</v>
      </c>
      <c r="L270" s="3" t="str">
        <f>IFERROR(VLOOKUP(D:D,Customer_info!A:A, 1, FALSE), "Not found")</f>
        <v>CUST033</v>
      </c>
      <c r="M270" s="3"/>
    </row>
    <row r="271" spans="1:13">
      <c r="A271" t="s">
        <v>422</v>
      </c>
      <c r="B271" s="2">
        <v>45318</v>
      </c>
      <c r="C271" s="1" t="str">
        <f t="shared" si="4"/>
        <v>Jan</v>
      </c>
      <c r="D271" t="s">
        <v>15</v>
      </c>
      <c r="E271" t="s">
        <v>151</v>
      </c>
      <c r="F271" s="4">
        <v>4</v>
      </c>
      <c r="G271" s="3">
        <v>1363.4</v>
      </c>
      <c r="H271" s="3" t="str">
        <f>VLOOKUP(Sales!E:E, Table2[#All], 3,FALSE)</f>
        <v>Electronics</v>
      </c>
      <c r="I271" s="3" t="str">
        <f>VLOOKUP(D:D,Table3[#All], 4, FALSE)</f>
        <v>Canada</v>
      </c>
      <c r="J271" s="2">
        <f>VLOOKUP(D:D,Table3[#All], 5, FALSE)</f>
        <v>44967</v>
      </c>
      <c r="K271" s="2" t="str">
        <f>TEXT(Table1[[#This Row],[SIGNUPDATE]], "mmm, yy")</f>
        <v>Feb, 23</v>
      </c>
      <c r="L271" s="3" t="str">
        <f>IFERROR(VLOOKUP(D:D,Customer_info!A:A, 1, FALSE), "Not found")</f>
        <v>CUST097</v>
      </c>
      <c r="M271" s="3"/>
    </row>
    <row r="272" spans="1:13">
      <c r="A272" t="s">
        <v>423</v>
      </c>
      <c r="B272" s="2">
        <v>45438</v>
      </c>
      <c r="C272" s="1" t="str">
        <f t="shared" si="4"/>
        <v>May</v>
      </c>
      <c r="D272" t="s">
        <v>36</v>
      </c>
      <c r="E272" t="s">
        <v>59</v>
      </c>
      <c r="F272" s="4">
        <v>1</v>
      </c>
      <c r="G272" s="3">
        <v>91.49</v>
      </c>
      <c r="H272" s="3" t="str">
        <f>VLOOKUP(Sales!E:E, Table2[#All], 3,FALSE)</f>
        <v>Clothing</v>
      </c>
      <c r="I272" s="3" t="str">
        <f>VLOOKUP(D:D,Table3[#All], 4, FALSE)</f>
        <v>US</v>
      </c>
      <c r="J272" s="2">
        <f>VLOOKUP(D:D,Table3[#All], 5, FALSE)</f>
        <v>45151</v>
      </c>
      <c r="K272" s="2" t="str">
        <f>TEXT(Table1[[#This Row],[SIGNUPDATE]], "mmm, yy")</f>
        <v>Aug, 23</v>
      </c>
      <c r="L272" s="3" t="str">
        <f>IFERROR(VLOOKUP(D:D,Customer_info!A:A, 1, FALSE), "Not found")</f>
        <v>CUST110</v>
      </c>
      <c r="M272" s="3"/>
    </row>
    <row r="273" spans="1:13">
      <c r="A273" t="s">
        <v>424</v>
      </c>
      <c r="B273" s="2">
        <v>45412</v>
      </c>
      <c r="C273" s="1" t="str">
        <f t="shared" si="4"/>
        <v>Apr</v>
      </c>
      <c r="D273" t="s">
        <v>234</v>
      </c>
      <c r="E273" t="s">
        <v>224</v>
      </c>
      <c r="F273" s="4">
        <v>3</v>
      </c>
      <c r="G273" s="3">
        <v>1391.76</v>
      </c>
      <c r="H273" s="3" t="str">
        <f>VLOOKUP(Sales!E:E, Table2[#All], 3,FALSE)</f>
        <v>Electronics</v>
      </c>
      <c r="I273" s="3" t="str">
        <f>VLOOKUP(D:D,Table3[#All], 4, FALSE)</f>
        <v>United States</v>
      </c>
      <c r="J273" s="2">
        <f>VLOOKUP(D:D,Table3[#All], 5, FALSE)</f>
        <v>45065</v>
      </c>
      <c r="K273" s="2" t="str">
        <f>TEXT(Table1[[#This Row],[SIGNUPDATE]], "mmm, yy")</f>
        <v>May, 23</v>
      </c>
      <c r="L273" s="3" t="str">
        <f>IFERROR(VLOOKUP(D:D,Customer_info!A:A, 1, FALSE), "Not found")</f>
        <v>CUST047</v>
      </c>
      <c r="M273" s="3"/>
    </row>
    <row r="274" spans="1:13">
      <c r="A274" t="s">
        <v>425</v>
      </c>
      <c r="B274" s="2">
        <v>45404</v>
      </c>
      <c r="C274" s="1" t="str">
        <f t="shared" si="4"/>
        <v>Apr</v>
      </c>
      <c r="D274" t="s">
        <v>169</v>
      </c>
      <c r="E274" t="s">
        <v>113</v>
      </c>
      <c r="F274" s="4">
        <v>4</v>
      </c>
      <c r="G274" s="3">
        <v>908.52</v>
      </c>
      <c r="H274" s="3" t="str">
        <f>VLOOKUP(Sales!E:E, Table2[#All], 3,FALSE)</f>
        <v>Electronics</v>
      </c>
      <c r="I274" s="3" t="str">
        <f>VLOOKUP(D:D,Table3[#All], 4, FALSE)</f>
        <v>United Kingdom</v>
      </c>
      <c r="J274" s="2">
        <f>VLOOKUP(D:D,Table3[#All], 5, FALSE)</f>
        <v>45041</v>
      </c>
      <c r="K274" s="2" t="str">
        <f>TEXT(Table1[[#This Row],[SIGNUPDATE]], "mmm, yy")</f>
        <v>Apr, 23</v>
      </c>
      <c r="L274" s="3" t="str">
        <f>IFERROR(VLOOKUP(D:D,Customer_info!A:A, 1, FALSE), "Not found")</f>
        <v>CUST003</v>
      </c>
      <c r="M274" s="3"/>
    </row>
    <row r="275" spans="1:13">
      <c r="A275" t="s">
        <v>426</v>
      </c>
      <c r="B275" s="2">
        <v>45339</v>
      </c>
      <c r="C275" s="1" t="str">
        <f t="shared" si="4"/>
        <v>Feb</v>
      </c>
      <c r="D275" t="s">
        <v>314</v>
      </c>
      <c r="E275" t="s">
        <v>128</v>
      </c>
      <c r="F275" s="4">
        <v>3</v>
      </c>
      <c r="G275" s="3">
        <v>350.01</v>
      </c>
      <c r="H275" s="3" t="str">
        <f>VLOOKUP(Sales!E:E, Table2[#All], 3,FALSE)</f>
        <v>Home</v>
      </c>
      <c r="I275" s="3" t="str">
        <f>VLOOKUP(D:D,Table3[#All], 4, FALSE)</f>
        <v>United States</v>
      </c>
      <c r="J275" s="2">
        <f>VLOOKUP(D:D,Table3[#All], 5, FALSE)</f>
        <v>44936</v>
      </c>
      <c r="K275" s="2" t="str">
        <f>TEXT(Table1[[#This Row],[SIGNUPDATE]], "mmm, yy")</f>
        <v>Jan, 23</v>
      </c>
      <c r="L275" s="3" t="str">
        <f>IFERROR(VLOOKUP(D:D,Customer_info!A:A, 1, FALSE), "Not found")</f>
        <v>CUST093</v>
      </c>
      <c r="M275" s="3"/>
    </row>
    <row r="276" spans="1:13">
      <c r="A276" t="s">
        <v>427</v>
      </c>
      <c r="B276" s="2">
        <v>45356</v>
      </c>
      <c r="C276" s="1" t="str">
        <f t="shared" si="4"/>
        <v>Mar</v>
      </c>
      <c r="D276" t="s">
        <v>197</v>
      </c>
      <c r="E276" t="s">
        <v>43</v>
      </c>
      <c r="F276" s="4">
        <v>1</v>
      </c>
      <c r="G276" s="3">
        <v>272.77999999999997</v>
      </c>
      <c r="H276" s="3" t="str">
        <f>VLOOKUP(Sales!E:E, Table2[#All], 3,FALSE)</f>
        <v>Clothing</v>
      </c>
      <c r="I276" s="3" t="str">
        <f>VLOOKUP(D:D,Table3[#All], 4, FALSE)</f>
        <v>UK</v>
      </c>
      <c r="J276" s="2">
        <f>VLOOKUP(D:D,Table3[#All], 5, FALSE)</f>
        <v>45005</v>
      </c>
      <c r="K276" s="2" t="str">
        <f>TEXT(Table1[[#This Row],[SIGNUPDATE]], "mmm, yy")</f>
        <v>Mar, 23</v>
      </c>
      <c r="L276" s="3" t="str">
        <f>IFERROR(VLOOKUP(D:D,Customer_info!A:A, 1, FALSE), "Not found")</f>
        <v>CUST069</v>
      </c>
      <c r="M276" s="3"/>
    </row>
    <row r="277" spans="1:13">
      <c r="A277" t="s">
        <v>428</v>
      </c>
      <c r="B277" s="2">
        <v>45321</v>
      </c>
      <c r="C277" s="1" t="str">
        <f t="shared" si="4"/>
        <v>Jan</v>
      </c>
      <c r="D277" t="s">
        <v>240</v>
      </c>
      <c r="E277" t="s">
        <v>16</v>
      </c>
      <c r="F277" s="4">
        <v>4</v>
      </c>
      <c r="G277" s="3">
        <v>1577.84</v>
      </c>
      <c r="H277" s="3" t="str">
        <f>VLOOKUP(Sales!E:E, Table2[#All], 3,FALSE)</f>
        <v>Clothing</v>
      </c>
      <c r="I277" s="3" t="str">
        <f>VLOOKUP(D:D,Table3[#All], 4, FALSE)</f>
        <v>United States</v>
      </c>
      <c r="J277" s="2">
        <f>VLOOKUP(D:D,Table3[#All], 5, FALSE)</f>
        <v>45228</v>
      </c>
      <c r="K277" s="2" t="str">
        <f>TEXT(Table1[[#This Row],[SIGNUPDATE]], "mmm, yy")</f>
        <v>Oct, 23</v>
      </c>
      <c r="L277" s="3" t="str">
        <f>IFERROR(VLOOKUP(D:D,Customer_info!A:A, 1, FALSE), "Not found")</f>
        <v>CUST015</v>
      </c>
      <c r="M277" s="3"/>
    </row>
    <row r="278" spans="1:13">
      <c r="A278" t="s">
        <v>429</v>
      </c>
      <c r="B278" s="2">
        <v>45394</v>
      </c>
      <c r="C278" s="1" t="str">
        <f t="shared" si="4"/>
        <v>Apr</v>
      </c>
      <c r="D278" t="s">
        <v>430</v>
      </c>
      <c r="E278" t="s">
        <v>230</v>
      </c>
      <c r="F278" s="4">
        <v>1</v>
      </c>
      <c r="G278" s="3">
        <v>243.63</v>
      </c>
      <c r="H278" s="3" t="str">
        <f>VLOOKUP(Sales!E:E, Table2[#All], 3,FALSE)</f>
        <v>Sports</v>
      </c>
      <c r="I278" s="3" t="str">
        <f>VLOOKUP(D:D,Table3[#All], 4, FALSE)</f>
        <v>UK</v>
      </c>
      <c r="J278" s="2">
        <f>VLOOKUP(D:D,Table3[#All], 5, FALSE)</f>
        <v>45035</v>
      </c>
      <c r="K278" s="2" t="str">
        <f>TEXT(Table1[[#This Row],[SIGNUPDATE]], "mmm, yy")</f>
        <v>Apr, 23</v>
      </c>
      <c r="L278" s="3" t="str">
        <f>IFERROR(VLOOKUP(D:D,Customer_info!A:A, 1, FALSE), "Not found")</f>
        <v>CUST054</v>
      </c>
      <c r="M278" s="3"/>
    </row>
    <row r="279" spans="1:13">
      <c r="A279" t="s">
        <v>431</v>
      </c>
      <c r="B279" s="2">
        <v>45310</v>
      </c>
      <c r="C279" s="1" t="str">
        <f t="shared" si="4"/>
        <v>Jan</v>
      </c>
      <c r="D279" t="s">
        <v>246</v>
      </c>
      <c r="E279" t="s">
        <v>67</v>
      </c>
      <c r="F279" s="4">
        <v>4</v>
      </c>
      <c r="G279" s="3">
        <v>1609.16</v>
      </c>
      <c r="H279" s="3" t="str">
        <f>VLOOKUP(Sales!E:E, Table2[#All], 3,FALSE)</f>
        <v>Home</v>
      </c>
      <c r="I279" s="3" t="str">
        <f>VLOOKUP(D:D,Table3[#All], 4, FALSE)</f>
        <v>US</v>
      </c>
      <c r="J279" s="2">
        <f>VLOOKUP(D:D,Table3[#All], 5, FALSE)</f>
        <v>44937</v>
      </c>
      <c r="K279" s="2" t="str">
        <f>TEXT(Table1[[#This Row],[SIGNUPDATE]], "mmm, yy")</f>
        <v>Jan, 23</v>
      </c>
      <c r="L279" s="3" t="str">
        <f>IFERROR(VLOOKUP(D:D,Customer_info!A:A, 1, FALSE), "Not found")</f>
        <v>CUST114</v>
      </c>
      <c r="M279" s="3"/>
    </row>
    <row r="280" spans="1:13">
      <c r="A280" t="s">
        <v>432</v>
      </c>
      <c r="B280" s="2">
        <v>45453</v>
      </c>
      <c r="C280" s="1" t="str">
        <f t="shared" si="4"/>
        <v>Jun</v>
      </c>
      <c r="D280" t="s">
        <v>15</v>
      </c>
      <c r="E280" t="s">
        <v>195</v>
      </c>
      <c r="F280" s="4">
        <v>5</v>
      </c>
      <c r="G280" s="3">
        <v>1229.3499999999999</v>
      </c>
      <c r="H280" s="3" t="str">
        <f>VLOOKUP(Sales!E:E, Table2[#All], 3,FALSE)</f>
        <v>Beauty</v>
      </c>
      <c r="I280" s="3" t="str">
        <f>VLOOKUP(D:D,Table3[#All], 4, FALSE)</f>
        <v>Canada</v>
      </c>
      <c r="J280" s="2">
        <f>VLOOKUP(D:D,Table3[#All], 5, FALSE)</f>
        <v>44967</v>
      </c>
      <c r="K280" s="2" t="str">
        <f>TEXT(Table1[[#This Row],[SIGNUPDATE]], "mmm, yy")</f>
        <v>Feb, 23</v>
      </c>
      <c r="L280" s="3" t="str">
        <f>IFERROR(VLOOKUP(D:D,Customer_info!A:A, 1, FALSE), "Not found")</f>
        <v>CUST097</v>
      </c>
      <c r="M280" s="3"/>
    </row>
    <row r="281" spans="1:13">
      <c r="A281" t="s">
        <v>433</v>
      </c>
      <c r="B281" s="2">
        <v>45330</v>
      </c>
      <c r="C281" s="1" t="str">
        <f t="shared" si="4"/>
        <v>Feb</v>
      </c>
      <c r="D281" t="s">
        <v>169</v>
      </c>
      <c r="E281" t="s">
        <v>22</v>
      </c>
      <c r="F281" s="4">
        <v>1</v>
      </c>
      <c r="G281" s="3">
        <v>103.3</v>
      </c>
      <c r="H281" s="3" t="str">
        <f>VLOOKUP(Sales!E:E, Table2[#All], 3,FALSE)</f>
        <v>Beauty</v>
      </c>
      <c r="I281" s="3" t="str">
        <f>VLOOKUP(D:D,Table3[#All], 4, FALSE)</f>
        <v>United Kingdom</v>
      </c>
      <c r="J281" s="2">
        <f>VLOOKUP(D:D,Table3[#All], 5, FALSE)</f>
        <v>45041</v>
      </c>
      <c r="K281" s="2" t="str">
        <f>TEXT(Table1[[#This Row],[SIGNUPDATE]], "mmm, yy")</f>
        <v>Apr, 23</v>
      </c>
      <c r="L281" s="3" t="str">
        <f>IFERROR(VLOOKUP(D:D,Customer_info!A:A, 1, FALSE), "Not found")</f>
        <v>CUST003</v>
      </c>
      <c r="M281" s="3"/>
    </row>
    <row r="282" spans="1:13">
      <c r="A282" t="s">
        <v>434</v>
      </c>
      <c r="B282" s="2">
        <v>45436</v>
      </c>
      <c r="C282" s="1" t="str">
        <f t="shared" si="4"/>
        <v>May</v>
      </c>
      <c r="D282" t="s">
        <v>435</v>
      </c>
      <c r="E282" t="s">
        <v>62</v>
      </c>
      <c r="F282" s="4">
        <v>2</v>
      </c>
      <c r="G282" s="3">
        <v>115.96</v>
      </c>
      <c r="H282" s="3" t="str">
        <f>VLOOKUP(Sales!E:E, Table2[#All], 3,FALSE)</f>
        <v>Sports</v>
      </c>
      <c r="I282" s="3" t="str">
        <f>VLOOKUP(D:D,Table3[#All], 4, FALSE)</f>
        <v>US</v>
      </c>
      <c r="J282" s="2">
        <f>VLOOKUP(D:D,Table3[#All], 5, FALSE)</f>
        <v>45131</v>
      </c>
      <c r="K282" s="2" t="str">
        <f>TEXT(Table1[[#This Row],[SIGNUPDATE]], "mmm, yy")</f>
        <v>Jul, 23</v>
      </c>
      <c r="L282" s="3" t="str">
        <f>IFERROR(VLOOKUP(D:D,Customer_info!A:A, 1, FALSE), "Not found")</f>
        <v>CUST108</v>
      </c>
      <c r="M282" s="3"/>
    </row>
    <row r="283" spans="1:13">
      <c r="A283" t="s">
        <v>436</v>
      </c>
      <c r="B283" s="2">
        <v>45313</v>
      </c>
      <c r="C283" s="1" t="str">
        <f t="shared" si="4"/>
        <v>Jan</v>
      </c>
      <c r="D283" t="s">
        <v>110</v>
      </c>
      <c r="E283" t="s">
        <v>62</v>
      </c>
      <c r="F283" s="4">
        <v>3</v>
      </c>
      <c r="G283" s="3">
        <v>173.94</v>
      </c>
      <c r="H283" s="3" t="str">
        <f>VLOOKUP(Sales!E:E, Table2[#All], 3,FALSE)</f>
        <v>Sports</v>
      </c>
      <c r="I283" s="3" t="str">
        <f>VLOOKUP(D:D,Table3[#All], 4, FALSE)</f>
        <v>United Kingdom</v>
      </c>
      <c r="J283" s="2">
        <f>VLOOKUP(D:D,Table3[#All], 5, FALSE)</f>
        <v>45062</v>
      </c>
      <c r="K283" s="2" t="str">
        <f>TEXT(Table1[[#This Row],[SIGNUPDATE]], "mmm, yy")</f>
        <v>May, 23</v>
      </c>
      <c r="L283" s="3" t="str">
        <f>IFERROR(VLOOKUP(D:D,Customer_info!A:A, 1, FALSE), "Not found")</f>
        <v>CUST059</v>
      </c>
      <c r="M283" s="3"/>
    </row>
    <row r="284" spans="1:13">
      <c r="A284" t="s">
        <v>437</v>
      </c>
      <c r="B284" s="2">
        <v>45322</v>
      </c>
      <c r="C284" s="1" t="str">
        <f t="shared" si="4"/>
        <v>Jan</v>
      </c>
      <c r="D284" t="s">
        <v>438</v>
      </c>
      <c r="E284" t="s">
        <v>19</v>
      </c>
      <c r="F284" s="4">
        <v>2</v>
      </c>
      <c r="G284" s="3">
        <v>415.7</v>
      </c>
      <c r="H284" s="3" t="str">
        <f>VLOOKUP(Sales!E:E, Table2[#All], 3,FALSE)</f>
        <v>Clothing</v>
      </c>
      <c r="I284" s="3" t="str">
        <f>VLOOKUP(D:D,Table3[#All], 4, FALSE)</f>
        <v>Canada</v>
      </c>
      <c r="J284" s="2">
        <f>VLOOKUP(D:D,Table3[#All], 5, FALSE)</f>
        <v>45088</v>
      </c>
      <c r="K284" s="2" t="str">
        <f>TEXT(Table1[[#This Row],[SIGNUPDATE]], "mmm, yy")</f>
        <v>Jun, 23</v>
      </c>
      <c r="L284" s="3" t="str">
        <f>IFERROR(VLOOKUP(D:D,Customer_info!A:A, 1, FALSE), "Not found")</f>
        <v>CUST055</v>
      </c>
      <c r="M284" s="3"/>
    </row>
    <row r="285" spans="1:13">
      <c r="A285" t="s">
        <v>439</v>
      </c>
      <c r="B285" s="2">
        <v>45398</v>
      </c>
      <c r="C285" s="1" t="str">
        <f t="shared" si="4"/>
        <v>Apr</v>
      </c>
      <c r="D285" t="s">
        <v>390</v>
      </c>
      <c r="E285" t="s">
        <v>230</v>
      </c>
      <c r="F285" s="4">
        <v>5</v>
      </c>
      <c r="G285" s="3">
        <v>1218.1500000000001</v>
      </c>
      <c r="H285" s="3" t="str">
        <f>VLOOKUP(Sales!E:E, Table2[#All], 3,FALSE)</f>
        <v>Sports</v>
      </c>
      <c r="I285" s="3" t="str">
        <f>VLOOKUP(D:D,Table3[#All], 4, FALSE)</f>
        <v>United Kingdom</v>
      </c>
      <c r="J285" s="2">
        <f>VLOOKUP(D:D,Table3[#All], 5, FALSE)</f>
        <v>44930</v>
      </c>
      <c r="K285" s="2" t="str">
        <f>TEXT(Table1[[#This Row],[SIGNUPDATE]], "mmm, yy")</f>
        <v>Jan, 23</v>
      </c>
      <c r="L285" s="3" t="str">
        <f>IFERROR(VLOOKUP(D:D,Customer_info!A:A, 1, FALSE), "Not found")</f>
        <v>CUST117</v>
      </c>
      <c r="M285" s="3"/>
    </row>
    <row r="286" spans="1:13">
      <c r="A286" t="s">
        <v>440</v>
      </c>
      <c r="B286" s="2">
        <v>45444</v>
      </c>
      <c r="C286" s="1" t="str">
        <f t="shared" si="4"/>
        <v>Jun</v>
      </c>
      <c r="D286" t="s">
        <v>441</v>
      </c>
      <c r="E286" t="s">
        <v>151</v>
      </c>
      <c r="F286" s="4">
        <v>5</v>
      </c>
      <c r="G286" s="3">
        <v>1704.25</v>
      </c>
      <c r="H286" s="3" t="str">
        <f>VLOOKUP(Sales!E:E, Table2[#All], 3,FALSE)</f>
        <v>Electronics</v>
      </c>
      <c r="I286" s="3" t="str">
        <f>VLOOKUP(D:D,Table3[#All], 4, FALSE)</f>
        <v>United Kingdom</v>
      </c>
      <c r="J286" s="2">
        <f>VLOOKUP(D:D,Table3[#All], 5, FALSE)</f>
        <v>45284</v>
      </c>
      <c r="K286" s="2" t="str">
        <f>TEXT(Table1[[#This Row],[SIGNUPDATE]], "mmm, yy")</f>
        <v>Dec, 23</v>
      </c>
      <c r="L286" s="3" t="str">
        <f>IFERROR(VLOOKUP(D:D,Customer_info!A:A, 1, FALSE), "Not found")</f>
        <v>CUST017</v>
      </c>
      <c r="M286" s="3"/>
    </row>
    <row r="287" spans="1:13">
      <c r="A287" t="s">
        <v>442</v>
      </c>
      <c r="B287" s="2">
        <v>45349</v>
      </c>
      <c r="C287" s="1" t="str">
        <f t="shared" si="4"/>
        <v>Feb</v>
      </c>
      <c r="D287" t="s">
        <v>94</v>
      </c>
      <c r="E287" t="s">
        <v>151</v>
      </c>
      <c r="F287" s="4">
        <v>5</v>
      </c>
      <c r="G287" s="3">
        <v>1704.25</v>
      </c>
      <c r="H287" s="3" t="str">
        <f>VLOOKUP(Sales!E:E, Table2[#All], 3,FALSE)</f>
        <v>Electronics</v>
      </c>
      <c r="I287" s="3" t="str">
        <f>VLOOKUP(D:D,Table3[#All], 4, FALSE)</f>
        <v>UK</v>
      </c>
      <c r="J287" s="2">
        <f>VLOOKUP(D:D,Table3[#All], 5, FALSE)</f>
        <v>45199</v>
      </c>
      <c r="K287" s="2" t="str">
        <f>TEXT(Table1[[#This Row],[SIGNUPDATE]], "mmm, yy")</f>
        <v>Sep, 23</v>
      </c>
      <c r="L287" s="3" t="str">
        <f>IFERROR(VLOOKUP(D:D,Customer_info!A:A, 1, FALSE), "Not found")</f>
        <v>CUST099</v>
      </c>
      <c r="M287" s="3"/>
    </row>
    <row r="288" spans="1:13">
      <c r="A288" t="s">
        <v>443</v>
      </c>
      <c r="B288" s="2">
        <v>45389</v>
      </c>
      <c r="C288" s="1" t="str">
        <f t="shared" si="4"/>
        <v>Apr</v>
      </c>
      <c r="D288" t="s">
        <v>39</v>
      </c>
      <c r="E288" t="s">
        <v>164</v>
      </c>
      <c r="F288" s="4">
        <v>5</v>
      </c>
      <c r="G288" s="3">
        <v>1309.7</v>
      </c>
      <c r="H288" s="3" t="str">
        <f>VLOOKUP(Sales!E:E, Table2[#All], 3,FALSE)</f>
        <v>Electronics</v>
      </c>
      <c r="I288" s="3" t="str">
        <f>VLOOKUP(D:D,Table3[#All], 4, FALSE)</f>
        <v>UK</v>
      </c>
      <c r="J288" s="2">
        <f>VLOOKUP(D:D,Table3[#All], 5, FALSE)</f>
        <v>45162</v>
      </c>
      <c r="K288" s="2" t="str">
        <f>TEXT(Table1[[#This Row],[SIGNUPDATE]], "mmm, yy")</f>
        <v>Aug, 23</v>
      </c>
      <c r="L288" s="3" t="str">
        <f>IFERROR(VLOOKUP(D:D,Customer_info!A:A, 1, FALSE), "Not found")</f>
        <v>CUST025</v>
      </c>
      <c r="M288" s="3"/>
    </row>
    <row r="289" spans="1:13">
      <c r="A289" t="s">
        <v>444</v>
      </c>
      <c r="B289" s="2">
        <v>45405</v>
      </c>
      <c r="C289" s="1" t="str">
        <f t="shared" si="4"/>
        <v>Apr</v>
      </c>
      <c r="D289" t="s">
        <v>50</v>
      </c>
      <c r="E289" t="s">
        <v>48</v>
      </c>
      <c r="F289" s="4">
        <v>4</v>
      </c>
      <c r="G289" s="3">
        <v>1175.2</v>
      </c>
      <c r="H289" s="3" t="str">
        <f>VLOOKUP(Sales!E:E, Table2[#All], 3,FALSE)</f>
        <v>Electronics</v>
      </c>
      <c r="I289" s="3" t="str">
        <f>VLOOKUP(D:D,Table3[#All], 4, FALSE)</f>
        <v>US</v>
      </c>
      <c r="J289" s="2">
        <f>VLOOKUP(D:D,Table3[#All], 5, FALSE)</f>
        <v>44984</v>
      </c>
      <c r="K289" s="2" t="str">
        <f>TEXT(Table1[[#This Row],[SIGNUPDATE]], "mmm, yy")</f>
        <v>Feb, 23</v>
      </c>
      <c r="L289" s="3" t="str">
        <f>IFERROR(VLOOKUP(D:D,Customer_info!A:A, 1, FALSE), "Not found")</f>
        <v>CUST080</v>
      </c>
      <c r="M289" s="3"/>
    </row>
    <row r="290" spans="1:13">
      <c r="A290" t="s">
        <v>445</v>
      </c>
      <c r="B290" s="2">
        <v>45442</v>
      </c>
      <c r="C290" s="1" t="str">
        <f t="shared" si="4"/>
        <v>May</v>
      </c>
      <c r="D290" t="s">
        <v>36</v>
      </c>
      <c r="E290" t="s">
        <v>37</v>
      </c>
      <c r="F290" s="4">
        <v>3</v>
      </c>
      <c r="G290" s="3">
        <v>1002.96</v>
      </c>
      <c r="H290" s="3" t="str">
        <f>VLOOKUP(Sales!E:E, Table2[#All], 3,FALSE)</f>
        <v>Sports</v>
      </c>
      <c r="I290" s="3" t="str">
        <f>VLOOKUP(D:D,Table3[#All], 4, FALSE)</f>
        <v>US</v>
      </c>
      <c r="J290" s="2">
        <f>VLOOKUP(D:D,Table3[#All], 5, FALSE)</f>
        <v>45151</v>
      </c>
      <c r="K290" s="2" t="str">
        <f>TEXT(Table1[[#This Row],[SIGNUPDATE]], "mmm, yy")</f>
        <v>Aug, 23</v>
      </c>
      <c r="L290" s="3" t="str">
        <f>IFERROR(VLOOKUP(D:D,Customer_info!A:A, 1, FALSE), "Not found")</f>
        <v>CUST110</v>
      </c>
      <c r="M290" s="3"/>
    </row>
    <row r="291" spans="1:13">
      <c r="A291" t="s">
        <v>446</v>
      </c>
      <c r="B291" s="2">
        <v>45370</v>
      </c>
      <c r="C291" s="1" t="str">
        <f t="shared" si="4"/>
        <v>Mar</v>
      </c>
      <c r="D291" t="s">
        <v>242</v>
      </c>
      <c r="E291" t="s">
        <v>67</v>
      </c>
      <c r="F291" s="4">
        <v>4</v>
      </c>
      <c r="G291" s="3">
        <v>1609.16</v>
      </c>
      <c r="H291" s="3" t="str">
        <f>VLOOKUP(Sales!E:E, Table2[#All], 3,FALSE)</f>
        <v>Home</v>
      </c>
      <c r="I291" s="3" t="str">
        <f>VLOOKUP(D:D,Table3[#All], 4, FALSE)</f>
        <v>India</v>
      </c>
      <c r="J291" s="2">
        <f>VLOOKUP(D:D,Table3[#All], 5, FALSE)</f>
        <v>45243</v>
      </c>
      <c r="K291" s="2" t="str">
        <f>TEXT(Table1[[#This Row],[SIGNUPDATE]], "mmm, yy")</f>
        <v>Nov, 23</v>
      </c>
      <c r="L291" s="3" t="str">
        <f>IFERROR(VLOOKUP(D:D,Customer_info!A:A, 1, FALSE), "Not found")</f>
        <v>CUST029</v>
      </c>
      <c r="M291" s="3"/>
    </row>
    <row r="292" spans="1:13">
      <c r="A292" t="s">
        <v>447</v>
      </c>
      <c r="B292" s="2">
        <v>45450</v>
      </c>
      <c r="C292" s="1" t="str">
        <f t="shared" si="4"/>
        <v>Jun</v>
      </c>
      <c r="D292" t="s">
        <v>187</v>
      </c>
      <c r="E292" t="s">
        <v>123</v>
      </c>
      <c r="F292" s="4">
        <v>5</v>
      </c>
      <c r="G292" s="3">
        <v>198.5</v>
      </c>
      <c r="H292" s="3" t="str">
        <f>VLOOKUP(Sales!E:E, Table2[#All], 3,FALSE)</f>
        <v>Electronics</v>
      </c>
      <c r="I292" s="3" t="str">
        <f>VLOOKUP(D:D,Table3[#All], 4, FALSE)</f>
        <v>UK</v>
      </c>
      <c r="J292" s="2">
        <f>VLOOKUP(D:D,Table3[#All], 5, FALSE)</f>
        <v>45112</v>
      </c>
      <c r="K292" s="2" t="str">
        <f>TEXT(Table1[[#This Row],[SIGNUPDATE]], "mmm, yy")</f>
        <v>Jul, 23</v>
      </c>
      <c r="L292" s="3" t="str">
        <f>IFERROR(VLOOKUP(D:D,Customer_info!A:A, 1, FALSE), "Not found")</f>
        <v>CUST094</v>
      </c>
      <c r="M292" s="3"/>
    </row>
    <row r="293" spans="1:13">
      <c r="A293" t="s">
        <v>448</v>
      </c>
      <c r="B293" s="2">
        <v>45448</v>
      </c>
      <c r="C293" s="1" t="str">
        <f t="shared" si="4"/>
        <v>Jun</v>
      </c>
      <c r="D293" t="s">
        <v>175</v>
      </c>
      <c r="E293" t="s">
        <v>147</v>
      </c>
      <c r="F293" s="4">
        <v>1</v>
      </c>
      <c r="G293" s="3">
        <v>339.95</v>
      </c>
      <c r="H293" s="3" t="str">
        <f>VLOOKUP(Sales!E:E, Table2[#All], 3,FALSE)</f>
        <v>Electronics</v>
      </c>
      <c r="I293" s="3" t="str">
        <f>VLOOKUP(D:D,Table3[#All], 4, FALSE)</f>
        <v>United Kingdom</v>
      </c>
      <c r="J293" s="2">
        <f>VLOOKUP(D:D,Table3[#All], 5, FALSE)</f>
        <v>44978</v>
      </c>
      <c r="K293" s="2" t="str">
        <f>TEXT(Table1[[#This Row],[SIGNUPDATE]], "mmm, yy")</f>
        <v>Feb, 23</v>
      </c>
      <c r="L293" s="3" t="str">
        <f>IFERROR(VLOOKUP(D:D,Customer_info!A:A, 1, FALSE), "Not found")</f>
        <v>CUST035</v>
      </c>
      <c r="M293" s="3"/>
    </row>
    <row r="294" spans="1:13">
      <c r="A294" t="s">
        <v>449</v>
      </c>
      <c r="B294" s="2">
        <v>45345</v>
      </c>
      <c r="C294" s="1" t="str">
        <f t="shared" si="4"/>
        <v>Feb</v>
      </c>
      <c r="D294" t="s">
        <v>450</v>
      </c>
      <c r="E294" t="s">
        <v>27</v>
      </c>
      <c r="F294" s="4">
        <v>1</v>
      </c>
      <c r="G294" s="3">
        <v>452.2</v>
      </c>
      <c r="H294" s="3" t="str">
        <f>VLOOKUP(Sales!E:E, Table2[#All], 3,FALSE)</f>
        <v>Beauty</v>
      </c>
      <c r="I294" s="3" t="str">
        <f>VLOOKUP(D:D,Table3[#All], 4, FALSE)</f>
        <v>United Kingdom</v>
      </c>
      <c r="J294" s="2">
        <f>VLOOKUP(D:D,Table3[#All], 5, FALSE)</f>
        <v>45203</v>
      </c>
      <c r="K294" s="2" t="str">
        <f>TEXT(Table1[[#This Row],[SIGNUPDATE]], "mmm, yy")</f>
        <v>Oct, 23</v>
      </c>
      <c r="L294" s="3" t="str">
        <f>IFERROR(VLOOKUP(D:D,Customer_info!A:A, 1, FALSE), "Not found")</f>
        <v>CUST090</v>
      </c>
      <c r="M294" s="3"/>
    </row>
    <row r="295" spans="1:13">
      <c r="A295" t="s">
        <v>451</v>
      </c>
      <c r="B295" s="2">
        <v>45359</v>
      </c>
      <c r="C295" s="1" t="str">
        <f t="shared" si="4"/>
        <v>Mar</v>
      </c>
      <c r="D295" t="s">
        <v>306</v>
      </c>
      <c r="E295" t="s">
        <v>10</v>
      </c>
      <c r="F295" s="4">
        <v>2</v>
      </c>
      <c r="G295" s="3">
        <v>79.739999999999995</v>
      </c>
      <c r="H295" s="3" t="str">
        <f>VLOOKUP(Sales!E:E, Table2[#All], 3,FALSE)</f>
        <v>Sports</v>
      </c>
      <c r="I295" s="3" t="str">
        <f>VLOOKUP(D:D,Table3[#All], 4, FALSE)</f>
        <v>Canada</v>
      </c>
      <c r="J295" s="2">
        <f>VLOOKUP(D:D,Table3[#All], 5, FALSE)</f>
        <v>45166</v>
      </c>
      <c r="K295" s="2" t="str">
        <f>TEXT(Table1[[#This Row],[SIGNUPDATE]], "mmm, yy")</f>
        <v>Aug, 23</v>
      </c>
      <c r="L295" s="3" t="str">
        <f>IFERROR(VLOOKUP(D:D,Customer_info!A:A, 1, FALSE), "Not found")</f>
        <v>CUST074</v>
      </c>
      <c r="M295" s="3"/>
    </row>
    <row r="296" spans="1:13">
      <c r="A296" t="s">
        <v>452</v>
      </c>
      <c r="B296" s="2">
        <v>45332</v>
      </c>
      <c r="C296" s="1" t="str">
        <f t="shared" si="4"/>
        <v>Feb</v>
      </c>
      <c r="D296" t="s">
        <v>77</v>
      </c>
      <c r="E296" t="s">
        <v>145</v>
      </c>
      <c r="F296" s="4">
        <v>1</v>
      </c>
      <c r="G296" s="3">
        <v>332.9</v>
      </c>
      <c r="H296" s="3" t="str">
        <f>VLOOKUP(Sales!E:E, Table2[#All], 3,FALSE)</f>
        <v>Electronics</v>
      </c>
      <c r="I296" s="3" t="str">
        <f>VLOOKUP(D:D,Table3[#All], 4, FALSE)</f>
        <v>US</v>
      </c>
      <c r="J296" s="2">
        <f>VLOOKUP(D:D,Table3[#All], 5, FALSE)</f>
        <v>44967</v>
      </c>
      <c r="K296" s="2" t="str">
        <f>TEXT(Table1[[#This Row],[SIGNUPDATE]], "mmm, yy")</f>
        <v>Feb, 23</v>
      </c>
      <c r="L296" s="3" t="str">
        <f>IFERROR(VLOOKUP(D:D,Customer_info!A:A, 1, FALSE), "Not found")</f>
        <v>CUST034</v>
      </c>
      <c r="M296" s="3"/>
    </row>
    <row r="297" spans="1:13">
      <c r="A297" t="s">
        <v>453</v>
      </c>
      <c r="B297" s="2">
        <v>45336</v>
      </c>
      <c r="C297" s="1" t="str">
        <f t="shared" si="4"/>
        <v>Feb</v>
      </c>
      <c r="D297" t="s">
        <v>234</v>
      </c>
      <c r="E297" t="s">
        <v>159</v>
      </c>
      <c r="F297" s="4">
        <v>2</v>
      </c>
      <c r="G297" s="3">
        <v>87.16</v>
      </c>
      <c r="H297" s="3" t="str">
        <f>VLOOKUP(Sales!E:E, Table2[#All], 3,FALSE)</f>
        <v>Clothing</v>
      </c>
      <c r="I297" s="3" t="str">
        <f>VLOOKUP(D:D,Table3[#All], 4, FALSE)</f>
        <v>United States</v>
      </c>
      <c r="J297" s="2">
        <f>VLOOKUP(D:D,Table3[#All], 5, FALSE)</f>
        <v>45065</v>
      </c>
      <c r="K297" s="2" t="str">
        <f>TEXT(Table1[[#This Row],[SIGNUPDATE]], "mmm, yy")</f>
        <v>May, 23</v>
      </c>
      <c r="L297" s="3" t="str">
        <f>IFERROR(VLOOKUP(D:D,Customer_info!A:A, 1, FALSE), "Not found")</f>
        <v>CUST047</v>
      </c>
      <c r="M297" s="3"/>
    </row>
    <row r="298" spans="1:13">
      <c r="A298" t="s">
        <v>454</v>
      </c>
      <c r="B298" s="2">
        <v>45311</v>
      </c>
      <c r="C298" s="1" t="str">
        <f t="shared" si="4"/>
        <v>Jan</v>
      </c>
      <c r="D298" t="s">
        <v>322</v>
      </c>
      <c r="E298" t="s">
        <v>48</v>
      </c>
      <c r="F298" s="4">
        <v>5</v>
      </c>
      <c r="G298" s="3">
        <v>1469</v>
      </c>
      <c r="H298" s="3" t="str">
        <f>VLOOKUP(Sales!E:E, Table2[#All], 3,FALSE)</f>
        <v>Electronics</v>
      </c>
      <c r="I298" s="3" t="str">
        <f>VLOOKUP(D:D,Table3[#All], 4, FALSE)</f>
        <v>United States</v>
      </c>
      <c r="J298" s="2">
        <f>VLOOKUP(D:D,Table3[#All], 5, FALSE)</f>
        <v>44976</v>
      </c>
      <c r="K298" s="2" t="str">
        <f>TEXT(Table1[[#This Row],[SIGNUPDATE]], "mmm, yy")</f>
        <v>Feb, 23</v>
      </c>
      <c r="L298" s="3" t="str">
        <f>IFERROR(VLOOKUP(D:D,Customer_info!A:A, 1, FALSE), "Not found")</f>
        <v>CUST022</v>
      </c>
      <c r="M298" s="3"/>
    </row>
    <row r="299" spans="1:13">
      <c r="A299" t="s">
        <v>455</v>
      </c>
      <c r="B299" s="2">
        <v>45292</v>
      </c>
      <c r="C299" s="1" t="str">
        <f t="shared" si="4"/>
        <v>Jan</v>
      </c>
      <c r="D299" t="s">
        <v>210</v>
      </c>
      <c r="E299" t="s">
        <v>27</v>
      </c>
      <c r="F299" s="4">
        <v>2</v>
      </c>
      <c r="G299" s="3">
        <v>904.4</v>
      </c>
      <c r="H299" s="3" t="str">
        <f>VLOOKUP(Sales!E:E, Table2[#All], 3,FALSE)</f>
        <v>Beauty</v>
      </c>
      <c r="I299" s="3" t="str">
        <f>VLOOKUP(D:D,Table3[#All], 4, FALSE)</f>
        <v>United States</v>
      </c>
      <c r="J299" s="2">
        <f>VLOOKUP(D:D,Table3[#All], 5, FALSE)</f>
        <v>45069</v>
      </c>
      <c r="K299" s="2" t="str">
        <f>TEXT(Table1[[#This Row],[SIGNUPDATE]], "mmm, yy")</f>
        <v>May, 23</v>
      </c>
      <c r="L299" s="3" t="str">
        <f>IFERROR(VLOOKUP(D:D,Customer_info!A:A, 1, FALSE), "Not found")</f>
        <v>CUST036</v>
      </c>
      <c r="M299" s="3"/>
    </row>
    <row r="300" spans="1:13">
      <c r="A300" t="s">
        <v>456</v>
      </c>
      <c r="B300" s="2">
        <v>45407</v>
      </c>
      <c r="C300" s="1" t="str">
        <f t="shared" si="4"/>
        <v>Apr</v>
      </c>
      <c r="D300" t="s">
        <v>134</v>
      </c>
      <c r="E300" t="s">
        <v>102</v>
      </c>
      <c r="F300" s="4">
        <v>4</v>
      </c>
      <c r="G300" s="3">
        <v>559.79999999999995</v>
      </c>
      <c r="H300" s="3" t="str">
        <f>VLOOKUP(Sales!E:E, Table2[#All], 3,FALSE)</f>
        <v>Beauty</v>
      </c>
      <c r="I300" s="3" t="str">
        <f>VLOOKUP(D:D,Table3[#All], 4, FALSE)</f>
        <v>India</v>
      </c>
      <c r="J300" s="2">
        <f>VLOOKUP(D:D,Table3[#All], 5, FALSE)</f>
        <v>45206</v>
      </c>
      <c r="K300" s="2" t="str">
        <f>TEXT(Table1[[#This Row],[SIGNUPDATE]], "mmm, yy")</f>
        <v>Oct, 23</v>
      </c>
      <c r="L300" s="3" t="str">
        <f>IFERROR(VLOOKUP(D:D,Customer_info!A:A, 1, FALSE), "Not found")</f>
        <v>CUST005</v>
      </c>
      <c r="M300" s="3"/>
    </row>
    <row r="301" spans="1:13">
      <c r="A301" t="s">
        <v>457</v>
      </c>
      <c r="B301" s="2">
        <v>45412</v>
      </c>
      <c r="C301" s="1" t="str">
        <f t="shared" si="4"/>
        <v>Apr</v>
      </c>
      <c r="D301" t="s">
        <v>47</v>
      </c>
      <c r="E301" t="s">
        <v>13</v>
      </c>
      <c r="F301" s="4">
        <v>5</v>
      </c>
      <c r="G301" s="3">
        <v>1183.45</v>
      </c>
      <c r="H301" s="3" t="str">
        <f>VLOOKUP(Sales!E:E, Table2[#All], 3,FALSE)</f>
        <v>Home</v>
      </c>
      <c r="I301" s="3" t="str">
        <f>VLOOKUP(D:D,Table3[#All], 4, FALSE)</f>
        <v>Canada</v>
      </c>
      <c r="J301" s="2">
        <f>VLOOKUP(D:D,Table3[#All], 5, FALSE)</f>
        <v>45039</v>
      </c>
      <c r="K301" s="2" t="str">
        <f>TEXT(Table1[[#This Row],[SIGNUPDATE]], "mmm, yy")</f>
        <v>Apr, 23</v>
      </c>
      <c r="L301" s="3" t="str">
        <f>IFERROR(VLOOKUP(D:D,Customer_info!A:A, 1, FALSE), "Not found")</f>
        <v>CUST049</v>
      </c>
      <c r="M301" s="3"/>
    </row>
    <row r="302" spans="1:13">
      <c r="A302" t="s">
        <v>458</v>
      </c>
      <c r="B302" s="2">
        <v>45300</v>
      </c>
      <c r="C302" s="1" t="str">
        <f t="shared" si="4"/>
        <v>Jan</v>
      </c>
      <c r="D302" t="s">
        <v>15</v>
      </c>
      <c r="E302" t="s">
        <v>34</v>
      </c>
      <c r="F302" s="4">
        <v>3</v>
      </c>
      <c r="G302" s="3">
        <v>877.02</v>
      </c>
      <c r="H302" s="3" t="str">
        <f>VLOOKUP(Sales!E:E, Table2[#All], 3,FALSE)</f>
        <v>Sports</v>
      </c>
      <c r="I302" s="3" t="str">
        <f>VLOOKUP(D:D,Table3[#All], 4, FALSE)</f>
        <v>Canada</v>
      </c>
      <c r="J302" s="2">
        <f>VLOOKUP(D:D,Table3[#All], 5, FALSE)</f>
        <v>44967</v>
      </c>
      <c r="K302" s="2" t="str">
        <f>TEXT(Table1[[#This Row],[SIGNUPDATE]], "mmm, yy")</f>
        <v>Feb, 23</v>
      </c>
      <c r="L302" s="3" t="str">
        <f>IFERROR(VLOOKUP(D:D,Customer_info!A:A, 1, FALSE), "Not found")</f>
        <v>CUST097</v>
      </c>
      <c r="M302" s="3"/>
    </row>
    <row r="303" spans="1:13">
      <c r="A303" t="s">
        <v>459</v>
      </c>
      <c r="B303" s="2">
        <v>45365</v>
      </c>
      <c r="C303" s="1" t="str">
        <f t="shared" si="4"/>
        <v>Mar</v>
      </c>
      <c r="D303" t="s">
        <v>228</v>
      </c>
      <c r="E303" t="s">
        <v>224</v>
      </c>
      <c r="F303" s="4">
        <v>2</v>
      </c>
      <c r="G303" s="3">
        <v>927.84</v>
      </c>
      <c r="H303" s="3" t="str">
        <f>VLOOKUP(Sales!E:E, Table2[#All], 3,FALSE)</f>
        <v>Electronics</v>
      </c>
      <c r="I303" s="3" t="str">
        <f>VLOOKUP(D:D,Table3[#All], 4, FALSE)</f>
        <v>United Kingdom</v>
      </c>
      <c r="J303" s="2">
        <f>VLOOKUP(D:D,Table3[#All], 5, FALSE)</f>
        <v>45046</v>
      </c>
      <c r="K303" s="2" t="str">
        <f>TEXT(Table1[[#This Row],[SIGNUPDATE]], "mmm, yy")</f>
        <v>Apr, 23</v>
      </c>
      <c r="L303" s="3" t="str">
        <f>IFERROR(VLOOKUP(D:D,Customer_info!A:A, 1, FALSE), "Not found")</f>
        <v>CUST009</v>
      </c>
      <c r="M303" s="3"/>
    </row>
    <row r="304" spans="1:13">
      <c r="A304" t="s">
        <v>460</v>
      </c>
      <c r="B304" s="2">
        <v>45471</v>
      </c>
      <c r="C304" s="1" t="str">
        <f t="shared" si="4"/>
        <v>Jun</v>
      </c>
      <c r="D304" t="s">
        <v>61</v>
      </c>
      <c r="E304" t="s">
        <v>145</v>
      </c>
      <c r="F304" s="4">
        <v>3</v>
      </c>
      <c r="G304" s="3">
        <v>998.7</v>
      </c>
      <c r="H304" s="3" t="str">
        <f>VLOOKUP(Sales!E:E, Table2[#All], 3,FALSE)</f>
        <v>Electronics</v>
      </c>
      <c r="I304" s="3" t="str">
        <f>VLOOKUP(D:D,Table3[#All], 4, FALSE)</f>
        <v>Canada</v>
      </c>
      <c r="J304" s="2">
        <f>VLOOKUP(D:D,Table3[#All], 5, FALSE)</f>
        <v>45011</v>
      </c>
      <c r="K304" s="2" t="str">
        <f>TEXT(Table1[[#This Row],[SIGNUPDATE]], "mmm, yy")</f>
        <v>Mar, 23</v>
      </c>
      <c r="L304" s="3" t="str">
        <f>IFERROR(VLOOKUP(D:D,Customer_info!A:A, 1, FALSE), "Not found")</f>
        <v>CUST102</v>
      </c>
      <c r="M304" s="3"/>
    </row>
    <row r="305" spans="1:13">
      <c r="A305" t="s">
        <v>461</v>
      </c>
      <c r="B305" s="2">
        <v>45310</v>
      </c>
      <c r="C305" s="1" t="str">
        <f t="shared" si="4"/>
        <v>Jan</v>
      </c>
      <c r="D305" t="s">
        <v>197</v>
      </c>
      <c r="E305" t="s">
        <v>113</v>
      </c>
      <c r="F305" s="4">
        <v>4</v>
      </c>
      <c r="G305" s="3">
        <v>908.52</v>
      </c>
      <c r="H305" s="3" t="str">
        <f>VLOOKUP(Sales!E:E, Table2[#All], 3,FALSE)</f>
        <v>Electronics</v>
      </c>
      <c r="I305" s="3" t="str">
        <f>VLOOKUP(D:D,Table3[#All], 4, FALSE)</f>
        <v>UK</v>
      </c>
      <c r="J305" s="2">
        <f>VLOOKUP(D:D,Table3[#All], 5, FALSE)</f>
        <v>45005</v>
      </c>
      <c r="K305" s="2" t="str">
        <f>TEXT(Table1[[#This Row],[SIGNUPDATE]], "mmm, yy")</f>
        <v>Mar, 23</v>
      </c>
      <c r="L305" s="3" t="str">
        <f>IFERROR(VLOOKUP(D:D,Customer_info!A:A, 1, FALSE), "Not found")</f>
        <v>CUST069</v>
      </c>
      <c r="M305" s="3"/>
    </row>
    <row r="306" spans="1:13">
      <c r="A306" t="s">
        <v>462</v>
      </c>
      <c r="B306" s="2">
        <v>45359</v>
      </c>
      <c r="C306" s="1" t="str">
        <f t="shared" si="4"/>
        <v>Mar</v>
      </c>
      <c r="D306" t="s">
        <v>395</v>
      </c>
      <c r="E306" t="s">
        <v>25</v>
      </c>
      <c r="F306" s="4">
        <v>2</v>
      </c>
      <c r="G306" s="3">
        <v>299.54000000000002</v>
      </c>
      <c r="H306" s="3" t="str">
        <f>VLOOKUP(Sales!E:E, Table2[#All], 3,FALSE)</f>
        <v>Beauty</v>
      </c>
      <c r="I306" s="3" t="str">
        <f>VLOOKUP(D:D,Table3[#All], 4, FALSE)</f>
        <v>US</v>
      </c>
      <c r="J306" s="2">
        <f>VLOOKUP(D:D,Table3[#All], 5, FALSE)</f>
        <v>45049</v>
      </c>
      <c r="K306" s="2" t="str">
        <f>TEXT(Table1[[#This Row],[SIGNUPDATE]], "mmm, yy")</f>
        <v>May, 23</v>
      </c>
      <c r="L306" s="3" t="str">
        <f>IFERROR(VLOOKUP(D:D,Customer_info!A:A, 1, FALSE), "Not found")</f>
        <v>CUST095</v>
      </c>
      <c r="M306" s="3"/>
    </row>
    <row r="307" spans="1:13">
      <c r="A307" t="s">
        <v>463</v>
      </c>
      <c r="B307" s="2">
        <v>45461</v>
      </c>
      <c r="C307" s="1" t="str">
        <f t="shared" si="4"/>
        <v>Jun</v>
      </c>
      <c r="D307" t="s">
        <v>441</v>
      </c>
      <c r="E307" t="s">
        <v>59</v>
      </c>
      <c r="F307" s="4">
        <v>5</v>
      </c>
      <c r="G307" s="3">
        <v>457.45</v>
      </c>
      <c r="H307" s="3" t="str">
        <f>VLOOKUP(Sales!E:E, Table2[#All], 3,FALSE)</f>
        <v>Clothing</v>
      </c>
      <c r="I307" s="3" t="str">
        <f>VLOOKUP(D:D,Table3[#All], 4, FALSE)</f>
        <v>United Kingdom</v>
      </c>
      <c r="J307" s="2">
        <f>VLOOKUP(D:D,Table3[#All], 5, FALSE)</f>
        <v>45284</v>
      </c>
      <c r="K307" s="2" t="str">
        <f>TEXT(Table1[[#This Row],[SIGNUPDATE]], "mmm, yy")</f>
        <v>Dec, 23</v>
      </c>
      <c r="L307" s="3" t="str">
        <f>IFERROR(VLOOKUP(D:D,Customer_info!A:A, 1, FALSE), "Not found")</f>
        <v>CUST017</v>
      </c>
      <c r="M307" s="3"/>
    </row>
    <row r="308" spans="1:13">
      <c r="A308" t="s">
        <v>464</v>
      </c>
      <c r="B308" s="2">
        <v>45400</v>
      </c>
      <c r="C308" s="1" t="str">
        <f t="shared" si="4"/>
        <v>Apr</v>
      </c>
      <c r="D308" t="s">
        <v>149</v>
      </c>
      <c r="E308" t="s">
        <v>147</v>
      </c>
      <c r="F308" s="4">
        <v>2</v>
      </c>
      <c r="G308" s="3">
        <v>679.9</v>
      </c>
      <c r="H308" s="3" t="str">
        <f>VLOOKUP(Sales!E:E, Table2[#All], 3,FALSE)</f>
        <v>Electronics</v>
      </c>
      <c r="I308" s="3" t="str">
        <f>VLOOKUP(D:D,Table3[#All], 4, FALSE)</f>
        <v>United Kingdom</v>
      </c>
      <c r="J308" s="2">
        <f>VLOOKUP(D:D,Table3[#All], 5, FALSE)</f>
        <v>45259</v>
      </c>
      <c r="K308" s="2" t="str">
        <f>TEXT(Table1[[#This Row],[SIGNUPDATE]], "mmm, yy")</f>
        <v>Nov, 23</v>
      </c>
      <c r="L308" s="3" t="str">
        <f>IFERROR(VLOOKUP(D:D,Customer_info!A:A, 1, FALSE), "Not found")</f>
        <v>CUST012</v>
      </c>
      <c r="M308" s="3"/>
    </row>
    <row r="309" spans="1:13">
      <c r="A309" t="s">
        <v>465</v>
      </c>
      <c r="B309" s="2">
        <v>45431</v>
      </c>
      <c r="C309" s="1" t="str">
        <f t="shared" si="4"/>
        <v>May</v>
      </c>
      <c r="D309" t="s">
        <v>466</v>
      </c>
      <c r="E309" t="s">
        <v>224</v>
      </c>
      <c r="F309" s="4">
        <v>1</v>
      </c>
      <c r="G309" s="3">
        <v>463.92</v>
      </c>
      <c r="H309" s="3" t="str">
        <f>VLOOKUP(Sales!E:E, Table2[#All], 3,FALSE)</f>
        <v>Electronics</v>
      </c>
      <c r="I309" s="3" t="str">
        <f>VLOOKUP(D:D,Table3[#All], 4, FALSE)</f>
        <v>India</v>
      </c>
      <c r="J309" s="2">
        <f>VLOOKUP(D:D,Table3[#All], 5, FALSE)</f>
        <v>45206</v>
      </c>
      <c r="K309" s="2" t="str">
        <f>TEXT(Table1[[#This Row],[SIGNUPDATE]], "mmm, yy")</f>
        <v>Oct, 23</v>
      </c>
      <c r="L309" s="3" t="str">
        <f>IFERROR(VLOOKUP(D:D,Customer_info!A:A, 1, FALSE), "Not found")</f>
        <v>CUST013</v>
      </c>
      <c r="M309" s="3"/>
    </row>
    <row r="310" spans="1:13">
      <c r="A310" t="s">
        <v>467</v>
      </c>
      <c r="B310" s="2">
        <v>45457</v>
      </c>
      <c r="C310" s="1" t="str">
        <f t="shared" si="4"/>
        <v>Jun</v>
      </c>
      <c r="D310" t="s">
        <v>66</v>
      </c>
      <c r="E310" t="s">
        <v>113</v>
      </c>
      <c r="F310" s="4">
        <v>2</v>
      </c>
      <c r="G310" s="3">
        <v>454.26</v>
      </c>
      <c r="H310" s="3" t="str">
        <f>VLOOKUP(Sales!E:E, Table2[#All], 3,FALSE)</f>
        <v>Electronics</v>
      </c>
      <c r="I310" s="3" t="str">
        <f>VLOOKUP(D:D,Table3[#All], 4, FALSE)</f>
        <v>Canada</v>
      </c>
      <c r="J310" s="2">
        <f>VLOOKUP(D:D,Table3[#All], 5, FALSE)</f>
        <v>45143</v>
      </c>
      <c r="K310" s="2" t="str">
        <f>TEXT(Table1[[#This Row],[SIGNUPDATE]], "mmm, yy")</f>
        <v>Aug, 23</v>
      </c>
      <c r="L310" s="3" t="str">
        <f>IFERROR(VLOOKUP(D:D,Customer_info!A:A, 1, FALSE), "Not found")</f>
        <v>CUST104</v>
      </c>
      <c r="M310" s="3"/>
    </row>
    <row r="311" spans="1:13">
      <c r="A311" t="s">
        <v>468</v>
      </c>
      <c r="B311" s="2">
        <v>45360</v>
      </c>
      <c r="C311" s="1" t="str">
        <f t="shared" si="4"/>
        <v>Mar</v>
      </c>
      <c r="D311" t="s">
        <v>61</v>
      </c>
      <c r="E311" t="s">
        <v>71</v>
      </c>
      <c r="F311" s="4">
        <v>2</v>
      </c>
      <c r="G311" s="3">
        <v>433.44</v>
      </c>
      <c r="H311" s="3" t="str">
        <f>VLOOKUP(Sales!E:E, Table2[#All], 3,FALSE)</f>
        <v>Clothing</v>
      </c>
      <c r="I311" s="3" t="str">
        <f>VLOOKUP(D:D,Table3[#All], 4, FALSE)</f>
        <v>Canada</v>
      </c>
      <c r="J311" s="2">
        <f>VLOOKUP(D:D,Table3[#All], 5, FALSE)</f>
        <v>45011</v>
      </c>
      <c r="K311" s="2" t="str">
        <f>TEXT(Table1[[#This Row],[SIGNUPDATE]], "mmm, yy")</f>
        <v>Mar, 23</v>
      </c>
      <c r="L311" s="3" t="str">
        <f>IFERROR(VLOOKUP(D:D,Customer_info!A:A, 1, FALSE), "Not found")</f>
        <v>CUST102</v>
      </c>
      <c r="M311" s="3"/>
    </row>
    <row r="312" spans="1:13">
      <c r="A312" t="s">
        <v>469</v>
      </c>
      <c r="B312" s="2">
        <v>45310</v>
      </c>
      <c r="C312" s="1" t="str">
        <f t="shared" si="4"/>
        <v>Jan</v>
      </c>
      <c r="D312" t="s">
        <v>208</v>
      </c>
      <c r="E312" t="s">
        <v>113</v>
      </c>
      <c r="F312" s="4">
        <v>2</v>
      </c>
      <c r="G312" s="3">
        <v>454.26</v>
      </c>
      <c r="H312" s="3" t="str">
        <f>VLOOKUP(Sales!E:E, Table2[#All], 3,FALSE)</f>
        <v>Electronics</v>
      </c>
      <c r="I312" s="3" t="str">
        <f>VLOOKUP(D:D,Table3[#All], 4, FALSE)</f>
        <v>India</v>
      </c>
      <c r="J312" s="2">
        <f>VLOOKUP(D:D,Table3[#All], 5, FALSE)</f>
        <v>45226</v>
      </c>
      <c r="K312" s="2" t="str">
        <f>TEXT(Table1[[#This Row],[SIGNUPDATE]], "mmm, yy")</f>
        <v>Oct, 23</v>
      </c>
      <c r="L312" s="3" t="str">
        <f>IFERROR(VLOOKUP(D:D,Customer_info!A:A, 1, FALSE), "Not found")</f>
        <v>CUST063</v>
      </c>
      <c r="M312" s="3"/>
    </row>
    <row r="313" spans="1:13">
      <c r="A313" t="s">
        <v>470</v>
      </c>
      <c r="B313" s="2">
        <v>45334</v>
      </c>
      <c r="C313" s="1" t="str">
        <f t="shared" si="4"/>
        <v>Feb</v>
      </c>
      <c r="D313" t="s">
        <v>395</v>
      </c>
      <c r="E313" t="s">
        <v>59</v>
      </c>
      <c r="F313" s="4">
        <v>1</v>
      </c>
      <c r="G313" s="3">
        <v>91.49</v>
      </c>
      <c r="H313" s="3" t="str">
        <f>VLOOKUP(Sales!E:E, Table2[#All], 3,FALSE)</f>
        <v>Clothing</v>
      </c>
      <c r="I313" s="3" t="str">
        <f>VLOOKUP(D:D,Table3[#All], 4, FALSE)</f>
        <v>US</v>
      </c>
      <c r="J313" s="2">
        <f>VLOOKUP(D:D,Table3[#All], 5, FALSE)</f>
        <v>45049</v>
      </c>
      <c r="K313" s="2" t="str">
        <f>TEXT(Table1[[#This Row],[SIGNUPDATE]], "mmm, yy")</f>
        <v>May, 23</v>
      </c>
      <c r="L313" s="3" t="str">
        <f>IFERROR(VLOOKUP(D:D,Customer_info!A:A, 1, FALSE), "Not found")</f>
        <v>CUST095</v>
      </c>
      <c r="M313" s="3"/>
    </row>
    <row r="314" spans="1:13">
      <c r="A314" t="s">
        <v>471</v>
      </c>
      <c r="B314" s="2">
        <v>45444</v>
      </c>
      <c r="C314" s="1" t="str">
        <f t="shared" si="4"/>
        <v>Jun</v>
      </c>
      <c r="D314" t="s">
        <v>246</v>
      </c>
      <c r="E314" t="s">
        <v>159</v>
      </c>
      <c r="F314" s="4">
        <v>3</v>
      </c>
      <c r="G314" s="3">
        <v>130.74</v>
      </c>
      <c r="H314" s="3" t="str">
        <f>VLOOKUP(Sales!E:E, Table2[#All], 3,FALSE)</f>
        <v>Clothing</v>
      </c>
      <c r="I314" s="3" t="str">
        <f>VLOOKUP(D:D,Table3[#All], 4, FALSE)</f>
        <v>US</v>
      </c>
      <c r="J314" s="2">
        <f>VLOOKUP(D:D,Table3[#All], 5, FALSE)</f>
        <v>44937</v>
      </c>
      <c r="K314" s="2" t="str">
        <f>TEXT(Table1[[#This Row],[SIGNUPDATE]], "mmm, yy")</f>
        <v>Jan, 23</v>
      </c>
      <c r="L314" s="3" t="str">
        <f>IFERROR(VLOOKUP(D:D,Customer_info!A:A, 1, FALSE), "Not found")</f>
        <v>CUST114</v>
      </c>
      <c r="M314" s="3"/>
    </row>
    <row r="315" spans="1:13">
      <c r="A315" t="s">
        <v>472</v>
      </c>
      <c r="B315" s="2">
        <v>45365</v>
      </c>
      <c r="C315" s="1" t="str">
        <f t="shared" si="4"/>
        <v>Mar</v>
      </c>
      <c r="D315" t="s">
        <v>125</v>
      </c>
      <c r="E315" t="s">
        <v>131</v>
      </c>
      <c r="F315" s="4">
        <v>5</v>
      </c>
      <c r="G315" s="3">
        <v>1689</v>
      </c>
      <c r="H315" s="3" t="str">
        <f>VLOOKUP(Sales!E:E, Table2[#All], 3,FALSE)</f>
        <v>Home</v>
      </c>
      <c r="I315" s="3" t="str">
        <f>VLOOKUP(D:D,Table3[#All], 4, FALSE)</f>
        <v>India</v>
      </c>
      <c r="J315" s="2">
        <f>VLOOKUP(D:D,Table3[#All], 5, FALSE)</f>
        <v>45258</v>
      </c>
      <c r="K315" s="2" t="str">
        <f>TEXT(Table1[[#This Row],[SIGNUPDATE]], "mmm, yy")</f>
        <v>Nov, 23</v>
      </c>
      <c r="L315" s="3" t="str">
        <f>IFERROR(VLOOKUP(D:D,Customer_info!A:A, 1, FALSE), "Not found")</f>
        <v>CUST042</v>
      </c>
      <c r="M315" s="3"/>
    </row>
    <row r="316" spans="1:13">
      <c r="A316" t="s">
        <v>473</v>
      </c>
      <c r="B316" s="2">
        <v>45323</v>
      </c>
      <c r="C316" s="1" t="str">
        <f t="shared" si="4"/>
        <v>Feb</v>
      </c>
      <c r="D316" t="s">
        <v>39</v>
      </c>
      <c r="E316" t="s">
        <v>7</v>
      </c>
      <c r="F316" s="4">
        <v>4</v>
      </c>
      <c r="G316" s="3">
        <v>1678.6</v>
      </c>
      <c r="H316" s="3" t="str">
        <f>VLOOKUP(Sales!E:E, Table2[#All], 3,FALSE)</f>
        <v>Sports</v>
      </c>
      <c r="I316" s="3" t="str">
        <f>VLOOKUP(D:D,Table3[#All], 4, FALSE)</f>
        <v>UK</v>
      </c>
      <c r="J316" s="2">
        <f>VLOOKUP(D:D,Table3[#All], 5, FALSE)</f>
        <v>45162</v>
      </c>
      <c r="K316" s="2" t="str">
        <f>TEXT(Table1[[#This Row],[SIGNUPDATE]], "mmm, yy")</f>
        <v>Aug, 23</v>
      </c>
      <c r="L316" s="3" t="str">
        <f>IFERROR(VLOOKUP(D:D,Customer_info!A:A, 1, FALSE), "Not found")</f>
        <v>CUST025</v>
      </c>
      <c r="M316" s="3"/>
    </row>
    <row r="317" spans="1:13">
      <c r="A317" t="s">
        <v>474</v>
      </c>
      <c r="B317" s="2">
        <v>45468</v>
      </c>
      <c r="C317" s="1" t="str">
        <f t="shared" si="4"/>
        <v>Jun</v>
      </c>
      <c r="D317" t="s">
        <v>36</v>
      </c>
      <c r="E317" t="s">
        <v>40</v>
      </c>
      <c r="F317" s="4">
        <v>4</v>
      </c>
      <c r="G317" s="3">
        <v>152.04</v>
      </c>
      <c r="H317" s="3" t="str">
        <f>VLOOKUP(Sales!E:E, Table2[#All], 3,FALSE)</f>
        <v>Home</v>
      </c>
      <c r="I317" s="3" t="str">
        <f>VLOOKUP(D:D,Table3[#All], 4, FALSE)</f>
        <v>US</v>
      </c>
      <c r="J317" s="2">
        <f>VLOOKUP(D:D,Table3[#All], 5, FALSE)</f>
        <v>45151</v>
      </c>
      <c r="K317" s="2" t="str">
        <f>TEXT(Table1[[#This Row],[SIGNUPDATE]], "mmm, yy")</f>
        <v>Aug, 23</v>
      </c>
      <c r="L317" s="3" t="str">
        <f>IFERROR(VLOOKUP(D:D,Customer_info!A:A, 1, FALSE), "Not found")</f>
        <v>CUST110</v>
      </c>
      <c r="M317" s="3"/>
    </row>
    <row r="318" spans="1:13">
      <c r="A318" t="s">
        <v>475</v>
      </c>
      <c r="B318" s="2">
        <v>45471</v>
      </c>
      <c r="C318" s="1" t="str">
        <f t="shared" si="4"/>
        <v>Jun</v>
      </c>
      <c r="D318" t="s">
        <v>138</v>
      </c>
      <c r="E318" t="s">
        <v>22</v>
      </c>
      <c r="F318" s="4">
        <v>3</v>
      </c>
      <c r="G318" s="3">
        <v>309.89999999999998</v>
      </c>
      <c r="H318" s="3" t="str">
        <f>VLOOKUP(Sales!E:E, Table2[#All], 3,FALSE)</f>
        <v>Beauty</v>
      </c>
      <c r="I318" s="3" t="str">
        <f>VLOOKUP(D:D,Table3[#All], 4, FALSE)</f>
        <v>US</v>
      </c>
      <c r="J318" s="2">
        <f>VLOOKUP(D:D,Table3[#All], 5, FALSE)</f>
        <v>45222</v>
      </c>
      <c r="K318" s="2" t="str">
        <f>TEXT(Table1[[#This Row],[SIGNUPDATE]], "mmm, yy")</f>
        <v>Oct, 23</v>
      </c>
      <c r="L318" s="3" t="str">
        <f>IFERROR(VLOOKUP(D:D,Customer_info!A:A, 1, FALSE), "Not found")</f>
        <v>CUST030</v>
      </c>
      <c r="M318" s="3"/>
    </row>
    <row r="319" spans="1:13">
      <c r="A319" t="s">
        <v>476</v>
      </c>
      <c r="B319" s="2">
        <v>45361</v>
      </c>
      <c r="C319" s="1" t="str">
        <f t="shared" si="4"/>
        <v>Mar</v>
      </c>
      <c r="D319" t="s">
        <v>56</v>
      </c>
      <c r="E319" t="s">
        <v>123</v>
      </c>
      <c r="F319" s="4">
        <v>4</v>
      </c>
      <c r="G319" s="3">
        <v>158.80000000000001</v>
      </c>
      <c r="H319" s="3" t="str">
        <f>VLOOKUP(Sales!E:E, Table2[#All], 3,FALSE)</f>
        <v>Electronics</v>
      </c>
      <c r="I319" s="3" t="str">
        <f>VLOOKUP(D:D,Table3[#All], 4, FALSE)</f>
        <v>UK</v>
      </c>
      <c r="J319" s="2">
        <f>VLOOKUP(D:D,Table3[#All], 5, FALSE)</f>
        <v>45061</v>
      </c>
      <c r="K319" s="2" t="str">
        <f>TEXT(Table1[[#This Row],[SIGNUPDATE]], "mmm, yy")</f>
        <v>May, 23</v>
      </c>
      <c r="L319" s="3" t="str">
        <f>IFERROR(VLOOKUP(D:D,Customer_info!A:A, 1, FALSE), "Not found")</f>
        <v>CUST083</v>
      </c>
      <c r="M319" s="3"/>
    </row>
    <row r="320" spans="1:13">
      <c r="A320" t="s">
        <v>477</v>
      </c>
      <c r="B320" s="2">
        <v>45430</v>
      </c>
      <c r="C320" s="1" t="str">
        <f t="shared" si="4"/>
        <v>May</v>
      </c>
      <c r="D320" t="s">
        <v>33</v>
      </c>
      <c r="E320" t="s">
        <v>259</v>
      </c>
      <c r="F320" s="4">
        <v>5</v>
      </c>
      <c r="G320" s="3">
        <v>978.5</v>
      </c>
      <c r="H320" s="3" t="str">
        <f>VLOOKUP(Sales!E:E, Table2[#All], 3,FALSE)</f>
        <v>Clothing</v>
      </c>
      <c r="I320" s="3" t="str">
        <f>VLOOKUP(D:D,Table3[#All], 4, FALSE)</f>
        <v>US</v>
      </c>
      <c r="J320" s="2">
        <f>VLOOKUP(D:D,Table3[#All], 5, FALSE)</f>
        <v>45286</v>
      </c>
      <c r="K320" s="2" t="str">
        <f>TEXT(Table1[[#This Row],[SIGNUPDATE]], "mmm, yy")</f>
        <v>Dec, 23</v>
      </c>
      <c r="L320" s="3" t="str">
        <f>IFERROR(VLOOKUP(D:D,Customer_info!A:A, 1, FALSE), "Not found")</f>
        <v>CUST041</v>
      </c>
      <c r="M320" s="3"/>
    </row>
    <row r="321" spans="1:13">
      <c r="A321" t="s">
        <v>478</v>
      </c>
      <c r="B321" s="2">
        <v>45404</v>
      </c>
      <c r="C321" s="1" t="str">
        <f t="shared" si="4"/>
        <v>Apr</v>
      </c>
      <c r="D321" t="s">
        <v>104</v>
      </c>
      <c r="E321" t="s">
        <v>195</v>
      </c>
      <c r="F321" s="4">
        <v>4</v>
      </c>
      <c r="G321" s="3">
        <v>983.48</v>
      </c>
      <c r="H321" s="3" t="str">
        <f>VLOOKUP(Sales!E:E, Table2[#All], 3,FALSE)</f>
        <v>Beauty</v>
      </c>
      <c r="I321" s="3" t="str">
        <f>VLOOKUP(D:D,Table3[#All], 4, FALSE)</f>
        <v>United Kingdom</v>
      </c>
      <c r="J321" s="2">
        <f>VLOOKUP(D:D,Table3[#All], 5, FALSE)</f>
        <v>44992</v>
      </c>
      <c r="K321" s="2" t="str">
        <f>TEXT(Table1[[#This Row],[SIGNUPDATE]], "mmm, yy")</f>
        <v>Mar, 23</v>
      </c>
      <c r="L321" s="3" t="str">
        <f>IFERROR(VLOOKUP(D:D,Customer_info!A:A, 1, FALSE), "Not found")</f>
        <v>CUST100</v>
      </c>
      <c r="M321" s="3"/>
    </row>
    <row r="322" spans="1:13">
      <c r="A322" t="s">
        <v>479</v>
      </c>
      <c r="B322" s="2">
        <v>45445</v>
      </c>
      <c r="C322" s="1" t="str">
        <f t="shared" si="4"/>
        <v>Jun</v>
      </c>
      <c r="D322" t="s">
        <v>288</v>
      </c>
      <c r="E322" t="s">
        <v>51</v>
      </c>
      <c r="F322" s="4">
        <v>1</v>
      </c>
      <c r="G322" s="3">
        <v>85.85</v>
      </c>
      <c r="H322" s="3" t="str">
        <f>VLOOKUP(Sales!E:E, Table2[#All], 3,FALSE)</f>
        <v>Beauty</v>
      </c>
      <c r="I322" s="3" t="str">
        <f>VLOOKUP(D:D,Table3[#All], 4, FALSE)</f>
        <v>Canada</v>
      </c>
      <c r="J322" s="2">
        <f>VLOOKUP(D:D,Table3[#All], 5, FALSE)</f>
        <v>44959</v>
      </c>
      <c r="K322" s="2" t="str">
        <f>TEXT(Table1[[#This Row],[SIGNUPDATE]], "mmm, yy")</f>
        <v>Feb, 23</v>
      </c>
      <c r="L322" s="3" t="str">
        <f>IFERROR(VLOOKUP(D:D,Customer_info!A:A, 1, FALSE), "Not found")</f>
        <v>CUST072</v>
      </c>
      <c r="M322" s="3"/>
    </row>
    <row r="323" spans="1:13">
      <c r="A323" t="s">
        <v>480</v>
      </c>
      <c r="B323" s="2">
        <v>45402</v>
      </c>
      <c r="C323" s="1" t="str">
        <f t="shared" si="4"/>
        <v>Apr</v>
      </c>
      <c r="D323" t="s">
        <v>36</v>
      </c>
      <c r="E323" t="s">
        <v>177</v>
      </c>
      <c r="F323" s="4">
        <v>1</v>
      </c>
      <c r="G323" s="3">
        <v>217.55</v>
      </c>
      <c r="H323" s="3" t="str">
        <f>VLOOKUP(Sales!E:E, Table2[#All], 3,FALSE)</f>
        <v>Home</v>
      </c>
      <c r="I323" s="3" t="str">
        <f>VLOOKUP(D:D,Table3[#All], 4, FALSE)</f>
        <v>US</v>
      </c>
      <c r="J323" s="2">
        <f>VLOOKUP(D:D,Table3[#All], 5, FALSE)</f>
        <v>45151</v>
      </c>
      <c r="K323" s="2" t="str">
        <f>TEXT(Table1[[#This Row],[SIGNUPDATE]], "mmm, yy")</f>
        <v>Aug, 23</v>
      </c>
      <c r="L323" s="3" t="str">
        <f>IFERROR(VLOOKUP(D:D,Customer_info!A:A, 1, FALSE), "Not found")</f>
        <v>CUST110</v>
      </c>
      <c r="M323" s="3"/>
    </row>
    <row r="324" spans="1:13">
      <c r="A324" t="s">
        <v>481</v>
      </c>
      <c r="B324" s="2">
        <v>45446</v>
      </c>
      <c r="C324" s="1" t="str">
        <f t="shared" ref="C324:C361" si="5">TEXT(B324, "mmm")</f>
        <v>Jun</v>
      </c>
      <c r="D324" t="s">
        <v>158</v>
      </c>
      <c r="E324" t="s">
        <v>67</v>
      </c>
      <c r="F324" s="4">
        <v>3</v>
      </c>
      <c r="G324" s="3">
        <v>1206.8699999999999</v>
      </c>
      <c r="H324" s="3" t="str">
        <f>VLOOKUP(Sales!E:E, Table2[#All], 3,FALSE)</f>
        <v>Home</v>
      </c>
      <c r="I324" s="3" t="str">
        <f>VLOOKUP(D:D,Table3[#All], 4, FALSE)</f>
        <v>US</v>
      </c>
      <c r="J324" s="2">
        <f>VLOOKUP(D:D,Table3[#All], 5, FALSE)</f>
        <v>45255</v>
      </c>
      <c r="K324" s="2" t="str">
        <f>TEXT(Table1[[#This Row],[SIGNUPDATE]], "mmm, yy")</f>
        <v>Nov, 23</v>
      </c>
      <c r="L324" s="3" t="str">
        <f>IFERROR(VLOOKUP(D:D,Customer_info!A:A, 1, FALSE), "Not found")</f>
        <v>CUST079</v>
      </c>
      <c r="M324" s="3"/>
    </row>
    <row r="325" spans="1:13">
      <c r="A325" t="s">
        <v>482</v>
      </c>
      <c r="B325" s="2">
        <v>45298</v>
      </c>
      <c r="C325" s="1" t="str">
        <f t="shared" si="5"/>
        <v>Jan</v>
      </c>
      <c r="D325" t="s">
        <v>179</v>
      </c>
      <c r="E325" t="s">
        <v>259</v>
      </c>
      <c r="F325" s="4">
        <v>3</v>
      </c>
      <c r="G325" s="3">
        <v>587.1</v>
      </c>
      <c r="H325" s="3" t="str">
        <f>VLOOKUP(Sales!E:E, Table2[#All], 3,FALSE)</f>
        <v>Clothing</v>
      </c>
      <c r="I325" s="3" t="str">
        <f>VLOOKUP(D:D,Table3[#All], 4, FALSE)</f>
        <v>United Kingdom</v>
      </c>
      <c r="J325" s="2">
        <f>VLOOKUP(D:D,Table3[#All], 5, FALSE)</f>
        <v>45292</v>
      </c>
      <c r="K325" s="2" t="str">
        <f>TEXT(Table1[[#This Row],[SIGNUPDATE]], "mmm, yy")</f>
        <v>Jan, 24</v>
      </c>
      <c r="L325" s="3" t="str">
        <f>IFERROR(VLOOKUP(D:D,Customer_info!A:A, 1, FALSE), "Not found")</f>
        <v>CUST107</v>
      </c>
      <c r="M325" s="3"/>
    </row>
    <row r="326" spans="1:13">
      <c r="A326" t="s">
        <v>483</v>
      </c>
      <c r="B326" s="2">
        <v>45350</v>
      </c>
      <c r="C326" s="1" t="str">
        <f t="shared" si="5"/>
        <v>Feb</v>
      </c>
      <c r="D326" t="s">
        <v>96</v>
      </c>
      <c r="E326" t="s">
        <v>151</v>
      </c>
      <c r="F326" s="4">
        <v>1</v>
      </c>
      <c r="G326" s="3">
        <v>340.85</v>
      </c>
      <c r="H326" s="3" t="str">
        <f>VLOOKUP(Sales!E:E, Table2[#All], 3,FALSE)</f>
        <v>Electronics</v>
      </c>
      <c r="I326" s="3" t="str">
        <f>VLOOKUP(D:D,Table3[#All], 4, FALSE)</f>
        <v>United States</v>
      </c>
      <c r="J326" s="2">
        <f>VLOOKUP(D:D,Table3[#All], 5, FALSE)</f>
        <v>45039</v>
      </c>
      <c r="K326" s="2" t="str">
        <f>TEXT(Table1[[#This Row],[SIGNUPDATE]], "mmm, yy")</f>
        <v>Apr, 23</v>
      </c>
      <c r="L326" s="3" t="str">
        <f>IFERROR(VLOOKUP(D:D,Customer_info!A:A, 1, FALSE), "Not found")</f>
        <v>CUST014</v>
      </c>
      <c r="M326" s="3"/>
    </row>
    <row r="327" spans="1:13">
      <c r="A327" t="s">
        <v>484</v>
      </c>
      <c r="B327" s="2">
        <v>45442</v>
      </c>
      <c r="C327" s="1" t="str">
        <f t="shared" si="5"/>
        <v>May</v>
      </c>
      <c r="D327" t="s">
        <v>263</v>
      </c>
      <c r="E327" t="s">
        <v>159</v>
      </c>
      <c r="F327" s="4">
        <v>5</v>
      </c>
      <c r="G327" s="3">
        <v>217.9</v>
      </c>
      <c r="H327" s="3" t="str">
        <f>VLOOKUP(Sales!E:E, Table2[#All], 3,FALSE)</f>
        <v>Clothing</v>
      </c>
      <c r="I327" s="3" t="str">
        <f>VLOOKUP(D:D,Table3[#All], 4, FALSE)</f>
        <v>Canada</v>
      </c>
      <c r="J327" s="2">
        <f>VLOOKUP(D:D,Table3[#All], 5, FALSE)</f>
        <v>45179</v>
      </c>
      <c r="K327" s="2" t="str">
        <f>TEXT(Table1[[#This Row],[SIGNUPDATE]], "mmm, yy")</f>
        <v>Sep, 23</v>
      </c>
      <c r="L327" s="3" t="str">
        <f>IFERROR(VLOOKUP(D:D,Customer_info!A:A, 1, FALSE), "Not found")</f>
        <v>CUST067</v>
      </c>
      <c r="M327" s="3"/>
    </row>
    <row r="328" spans="1:13">
      <c r="A328" t="s">
        <v>485</v>
      </c>
      <c r="B328" s="2">
        <v>45464</v>
      </c>
      <c r="C328" s="1" t="str">
        <f t="shared" si="5"/>
        <v>Jun</v>
      </c>
      <c r="D328" t="s">
        <v>21</v>
      </c>
      <c r="E328" t="s">
        <v>67</v>
      </c>
      <c r="F328" s="4">
        <v>1</v>
      </c>
      <c r="G328" s="3">
        <v>402.29</v>
      </c>
      <c r="H328" s="3" t="str">
        <f>VLOOKUP(Sales!E:E, Table2[#All], 3,FALSE)</f>
        <v>Home</v>
      </c>
      <c r="I328" s="3" t="str">
        <f>VLOOKUP(D:D,Table3[#All], 4, FALSE)</f>
        <v>US</v>
      </c>
      <c r="J328" s="2">
        <f>VLOOKUP(D:D,Table3[#All], 5, FALSE)</f>
        <v>45010</v>
      </c>
      <c r="K328" s="2" t="str">
        <f>TEXT(Table1[[#This Row],[SIGNUPDATE]], "mmm, yy")</f>
        <v>Mar, 23</v>
      </c>
      <c r="L328" s="3" t="str">
        <f>IFERROR(VLOOKUP(D:D,Customer_info!A:A, 1, FALSE), "Not found")</f>
        <v>CUST038</v>
      </c>
      <c r="M328" s="3"/>
    </row>
    <row r="329" spans="1:13">
      <c r="A329" t="s">
        <v>486</v>
      </c>
      <c r="B329" s="2">
        <v>45439</v>
      </c>
      <c r="C329" s="1" t="str">
        <f t="shared" si="5"/>
        <v>May</v>
      </c>
      <c r="D329" t="s">
        <v>45</v>
      </c>
      <c r="E329" t="s">
        <v>37</v>
      </c>
      <c r="F329" s="4">
        <v>3</v>
      </c>
      <c r="G329" s="3">
        <v>1002.96</v>
      </c>
      <c r="H329" s="3" t="str">
        <f>VLOOKUP(Sales!E:E, Table2[#All], 3,FALSE)</f>
        <v>Sports</v>
      </c>
      <c r="I329" s="3" t="str">
        <f>VLOOKUP(D:D,Table3[#All], 4, FALSE)</f>
        <v>UK</v>
      </c>
      <c r="J329" s="2">
        <f>VLOOKUP(D:D,Table3[#All], 5, FALSE)</f>
        <v>45238</v>
      </c>
      <c r="K329" s="2" t="str">
        <f>TEXT(Table1[[#This Row],[SIGNUPDATE]], "mmm, yy")</f>
        <v>Nov, 23</v>
      </c>
      <c r="L329" s="3" t="str">
        <f>IFERROR(VLOOKUP(D:D,Customer_info!A:A, 1, FALSE), "Not found")</f>
        <v>CUST043</v>
      </c>
      <c r="M329" s="3"/>
    </row>
    <row r="330" spans="1:13">
      <c r="A330" t="s">
        <v>487</v>
      </c>
      <c r="B330" s="2">
        <v>45336</v>
      </c>
      <c r="C330" s="1" t="str">
        <f t="shared" si="5"/>
        <v>Feb</v>
      </c>
      <c r="D330" t="s">
        <v>45</v>
      </c>
      <c r="E330" t="s">
        <v>16</v>
      </c>
      <c r="F330" s="4">
        <v>1</v>
      </c>
      <c r="G330" s="3">
        <v>394.46</v>
      </c>
      <c r="H330" s="3" t="str">
        <f>VLOOKUP(Sales!E:E, Table2[#All], 3,FALSE)</f>
        <v>Clothing</v>
      </c>
      <c r="I330" s="3" t="str">
        <f>VLOOKUP(D:D,Table3[#All], 4, FALSE)</f>
        <v>UK</v>
      </c>
      <c r="J330" s="2">
        <f>VLOOKUP(D:D,Table3[#All], 5, FALSE)</f>
        <v>45238</v>
      </c>
      <c r="K330" s="2" t="str">
        <f>TEXT(Table1[[#This Row],[SIGNUPDATE]], "mmm, yy")</f>
        <v>Nov, 23</v>
      </c>
      <c r="L330" s="3" t="str">
        <f>IFERROR(VLOOKUP(D:D,Customer_info!A:A, 1, FALSE), "Not found")</f>
        <v>CUST043</v>
      </c>
      <c r="M330" s="3"/>
    </row>
    <row r="331" spans="1:13">
      <c r="A331" t="s">
        <v>488</v>
      </c>
      <c r="B331" s="2">
        <v>45424</v>
      </c>
      <c r="C331" s="1" t="str">
        <f t="shared" si="5"/>
        <v>May</v>
      </c>
      <c r="D331" t="s">
        <v>175</v>
      </c>
      <c r="E331" t="s">
        <v>123</v>
      </c>
      <c r="F331" s="4">
        <v>4</v>
      </c>
      <c r="G331" s="3">
        <v>158.80000000000001</v>
      </c>
      <c r="H331" s="3" t="str">
        <f>VLOOKUP(Sales!E:E, Table2[#All], 3,FALSE)</f>
        <v>Electronics</v>
      </c>
      <c r="I331" s="3" t="str">
        <f>VLOOKUP(D:D,Table3[#All], 4, FALSE)</f>
        <v>United Kingdom</v>
      </c>
      <c r="J331" s="2">
        <f>VLOOKUP(D:D,Table3[#All], 5, FALSE)</f>
        <v>44978</v>
      </c>
      <c r="K331" s="2" t="str">
        <f>TEXT(Table1[[#This Row],[SIGNUPDATE]], "mmm, yy")</f>
        <v>Feb, 23</v>
      </c>
      <c r="L331" s="3" t="str">
        <f>IFERROR(VLOOKUP(D:D,Customer_info!A:A, 1, FALSE), "Not found")</f>
        <v>CUST035</v>
      </c>
      <c r="M331" s="3"/>
    </row>
    <row r="332" spans="1:13">
      <c r="A332" t="s">
        <v>489</v>
      </c>
      <c r="B332" s="2">
        <v>45363</v>
      </c>
      <c r="C332" s="1" t="str">
        <f t="shared" si="5"/>
        <v>Mar</v>
      </c>
      <c r="D332" t="s">
        <v>213</v>
      </c>
      <c r="E332" t="s">
        <v>135</v>
      </c>
      <c r="F332" s="4">
        <v>4</v>
      </c>
      <c r="G332" s="3">
        <v>1724.88</v>
      </c>
      <c r="H332" s="3" t="str">
        <f>VLOOKUP(Sales!E:E, Table2[#All], 3,FALSE)</f>
        <v>Electronics</v>
      </c>
      <c r="I332" s="3" t="str">
        <f>VLOOKUP(D:D,Table3[#All], 4, FALSE)</f>
        <v>United Kingdom</v>
      </c>
      <c r="J332" s="2">
        <f>VLOOKUP(D:D,Table3[#All], 5, FALSE)</f>
        <v>45163</v>
      </c>
      <c r="K332" s="2" t="str">
        <f>TEXT(Table1[[#This Row],[SIGNUPDATE]], "mmm, yy")</f>
        <v>Aug, 23</v>
      </c>
      <c r="L332" s="3" t="str">
        <f>IFERROR(VLOOKUP(D:D,Customer_info!A:A, 1, FALSE), "Not found")</f>
        <v>CUST046</v>
      </c>
      <c r="M332" s="3"/>
    </row>
    <row r="333" spans="1:13">
      <c r="A333" t="s">
        <v>490</v>
      </c>
      <c r="B333" s="2">
        <v>45441</v>
      </c>
      <c r="C333" s="1" t="str">
        <f t="shared" si="5"/>
        <v>May</v>
      </c>
      <c r="D333" t="s">
        <v>53</v>
      </c>
      <c r="E333" t="s">
        <v>34</v>
      </c>
      <c r="F333" s="4">
        <v>2</v>
      </c>
      <c r="G333" s="3">
        <v>584.67999999999995</v>
      </c>
      <c r="H333" s="3" t="str">
        <f>VLOOKUP(Sales!E:E, Table2[#All], 3,FALSE)</f>
        <v>Sports</v>
      </c>
      <c r="I333" s="3" t="str">
        <f>VLOOKUP(D:D,Table3[#All], 4, FALSE)</f>
        <v>India</v>
      </c>
      <c r="J333" s="2">
        <f>VLOOKUP(D:D,Table3[#All], 5, FALSE)</f>
        <v>45143</v>
      </c>
      <c r="K333" s="2" t="str">
        <f>TEXT(Table1[[#This Row],[SIGNUPDATE]], "mmm, yy")</f>
        <v>Aug, 23</v>
      </c>
      <c r="L333" s="3" t="str">
        <f>IFERROR(VLOOKUP(D:D,Customer_info!A:A, 1, FALSE), "Not found")</f>
        <v>CUST071</v>
      </c>
      <c r="M333" s="3"/>
    </row>
    <row r="334" spans="1:13">
      <c r="A334" t="s">
        <v>491</v>
      </c>
      <c r="B334" s="2">
        <v>45454</v>
      </c>
      <c r="C334" s="1" t="str">
        <f t="shared" si="5"/>
        <v>Jun</v>
      </c>
      <c r="D334" t="s">
        <v>248</v>
      </c>
      <c r="E334" t="s">
        <v>37</v>
      </c>
      <c r="F334" s="4">
        <v>4</v>
      </c>
      <c r="G334" s="3">
        <v>1337.28</v>
      </c>
      <c r="H334" s="3" t="str">
        <f>VLOOKUP(Sales!E:E, Table2[#All], 3,FALSE)</f>
        <v>Sports</v>
      </c>
      <c r="I334" s="3" t="str">
        <f>VLOOKUP(D:D,Table3[#All], 4, FALSE)</f>
        <v>Canada</v>
      </c>
      <c r="J334" s="2">
        <f>VLOOKUP(D:D,Table3[#All], 5, FALSE)</f>
        <v>44990</v>
      </c>
      <c r="K334" s="2" t="str">
        <f>TEXT(Table1[[#This Row],[SIGNUPDATE]], "mmm, yy")</f>
        <v>Mar, 23</v>
      </c>
      <c r="L334" s="3" t="str">
        <f>IFERROR(VLOOKUP(D:D,Customer_info!A:A, 1, FALSE), "Not found")</f>
        <v>CUST026</v>
      </c>
      <c r="M334" s="3"/>
    </row>
    <row r="335" spans="1:13">
      <c r="A335" t="s">
        <v>492</v>
      </c>
      <c r="B335" s="2">
        <v>45315</v>
      </c>
      <c r="C335" s="1" t="str">
        <f t="shared" si="5"/>
        <v>Jan</v>
      </c>
      <c r="D335" t="s">
        <v>438</v>
      </c>
      <c r="E335" t="s">
        <v>16</v>
      </c>
      <c r="F335" s="4">
        <v>4</v>
      </c>
      <c r="G335" s="3">
        <v>1577.84</v>
      </c>
      <c r="H335" s="3" t="str">
        <f>VLOOKUP(Sales!E:E, Table2[#All], 3,FALSE)</f>
        <v>Clothing</v>
      </c>
      <c r="I335" s="3" t="str">
        <f>VLOOKUP(D:D,Table3[#All], 4, FALSE)</f>
        <v>Canada</v>
      </c>
      <c r="J335" s="2">
        <f>VLOOKUP(D:D,Table3[#All], 5, FALSE)</f>
        <v>45088</v>
      </c>
      <c r="K335" s="2" t="str">
        <f>TEXT(Table1[[#This Row],[SIGNUPDATE]], "mmm, yy")</f>
        <v>Jun, 23</v>
      </c>
      <c r="L335" s="3" t="str">
        <f>IFERROR(VLOOKUP(D:D,Customer_info!A:A, 1, FALSE), "Not found")</f>
        <v>CUST055</v>
      </c>
      <c r="M335" s="3"/>
    </row>
    <row r="336" spans="1:13">
      <c r="A336" t="s">
        <v>493</v>
      </c>
      <c r="B336" s="2">
        <v>45381</v>
      </c>
      <c r="C336" s="1" t="str">
        <f t="shared" si="5"/>
        <v>Mar</v>
      </c>
      <c r="D336" t="s">
        <v>208</v>
      </c>
      <c r="E336" t="s">
        <v>54</v>
      </c>
      <c r="F336" s="4">
        <v>4</v>
      </c>
      <c r="G336" s="3">
        <v>522.6</v>
      </c>
      <c r="H336" s="3" t="str">
        <f>VLOOKUP(Sales!E:E, Table2[#All], 3,FALSE)</f>
        <v>Sports</v>
      </c>
      <c r="I336" s="3" t="str">
        <f>VLOOKUP(D:D,Table3[#All], 4, FALSE)</f>
        <v>India</v>
      </c>
      <c r="J336" s="2">
        <f>VLOOKUP(D:D,Table3[#All], 5, FALSE)</f>
        <v>45226</v>
      </c>
      <c r="K336" s="2" t="str">
        <f>TEXT(Table1[[#This Row],[SIGNUPDATE]], "mmm, yy")</f>
        <v>Oct, 23</v>
      </c>
      <c r="L336" s="3" t="str">
        <f>IFERROR(VLOOKUP(D:D,Customer_info!A:A, 1, FALSE), "Not found")</f>
        <v>CUST063</v>
      </c>
      <c r="M336" s="3"/>
    </row>
    <row r="337" spans="1:13">
      <c r="A337" t="s">
        <v>494</v>
      </c>
      <c r="B337" s="2">
        <v>45377</v>
      </c>
      <c r="C337" s="1" t="str">
        <f t="shared" si="5"/>
        <v>Mar</v>
      </c>
      <c r="D337" t="s">
        <v>64</v>
      </c>
      <c r="E337" t="s">
        <v>159</v>
      </c>
      <c r="F337" s="4">
        <v>4</v>
      </c>
      <c r="G337" s="3">
        <v>174.32</v>
      </c>
      <c r="H337" s="3" t="str">
        <f>VLOOKUP(Sales!E:E, Table2[#All], 3,FALSE)</f>
        <v>Clothing</v>
      </c>
      <c r="I337" s="3" t="str">
        <f>VLOOKUP(D:D,Table3[#All], 4, FALSE)</f>
        <v>India</v>
      </c>
      <c r="J337" s="2">
        <f>VLOOKUP(D:D,Table3[#All], 5, FALSE)</f>
        <v>45214</v>
      </c>
      <c r="K337" s="2" t="str">
        <f>TEXT(Table1[[#This Row],[SIGNUPDATE]], "mmm, yy")</f>
        <v>Oct, 23</v>
      </c>
      <c r="L337" s="3" t="str">
        <f>IFERROR(VLOOKUP(D:D,Customer_info!A:A, 1, FALSE), "Not found")</f>
        <v>CUST061</v>
      </c>
      <c r="M337" s="3"/>
    </row>
    <row r="338" spans="1:13">
      <c r="A338" t="s">
        <v>495</v>
      </c>
      <c r="B338" s="2">
        <v>45463</v>
      </c>
      <c r="C338" s="1" t="str">
        <f t="shared" si="5"/>
        <v>Jun</v>
      </c>
      <c r="D338" t="s">
        <v>294</v>
      </c>
      <c r="E338" t="s">
        <v>27</v>
      </c>
      <c r="F338" s="4">
        <v>3</v>
      </c>
      <c r="G338" s="3">
        <v>1356.6</v>
      </c>
      <c r="H338" s="3" t="str">
        <f>VLOOKUP(Sales!E:E, Table2[#All], 3,FALSE)</f>
        <v>Beauty</v>
      </c>
      <c r="I338" s="3" t="str">
        <f>VLOOKUP(D:D,Table3[#All], 4, FALSE)</f>
        <v>US</v>
      </c>
      <c r="J338" s="2">
        <f>VLOOKUP(D:D,Table3[#All], 5, FALSE)</f>
        <v>44930</v>
      </c>
      <c r="K338" s="2" t="str">
        <f>TEXT(Table1[[#This Row],[SIGNUPDATE]], "mmm, yy")</f>
        <v>Jan, 23</v>
      </c>
      <c r="L338" s="3" t="str">
        <f>IFERROR(VLOOKUP(D:D,Customer_info!A:A, 1, FALSE), "Not found")</f>
        <v>CUST016</v>
      </c>
      <c r="M338" s="3"/>
    </row>
    <row r="339" spans="1:13">
      <c r="A339" t="s">
        <v>496</v>
      </c>
      <c r="B339" s="2">
        <v>45333</v>
      </c>
      <c r="C339" s="1" t="str">
        <f t="shared" si="5"/>
        <v>Feb</v>
      </c>
      <c r="D339" t="s">
        <v>61</v>
      </c>
      <c r="E339" t="s">
        <v>71</v>
      </c>
      <c r="F339" s="4">
        <v>1</v>
      </c>
      <c r="G339" s="3">
        <v>216.72</v>
      </c>
      <c r="H339" s="3" t="str">
        <f>VLOOKUP(Sales!E:E, Table2[#All], 3,FALSE)</f>
        <v>Clothing</v>
      </c>
      <c r="I339" s="3" t="str">
        <f>VLOOKUP(D:D,Table3[#All], 4, FALSE)</f>
        <v>Canada</v>
      </c>
      <c r="J339" s="2">
        <f>VLOOKUP(D:D,Table3[#All], 5, FALSE)</f>
        <v>45011</v>
      </c>
      <c r="K339" s="2" t="str">
        <f>TEXT(Table1[[#This Row],[SIGNUPDATE]], "mmm, yy")</f>
        <v>Mar, 23</v>
      </c>
      <c r="L339" s="3" t="str">
        <f>IFERROR(VLOOKUP(D:D,Customer_info!A:A, 1, FALSE), "Not found")</f>
        <v>CUST102</v>
      </c>
      <c r="M339" s="3"/>
    </row>
    <row r="340" spans="1:13">
      <c r="A340" t="s">
        <v>497</v>
      </c>
      <c r="B340" s="2">
        <v>45397</v>
      </c>
      <c r="C340" s="1" t="str">
        <f t="shared" si="5"/>
        <v>Apr</v>
      </c>
      <c r="D340" t="s">
        <v>158</v>
      </c>
      <c r="E340" t="s">
        <v>159</v>
      </c>
      <c r="F340" s="4">
        <v>3</v>
      </c>
      <c r="G340" s="3">
        <v>130.74</v>
      </c>
      <c r="H340" s="3" t="str">
        <f>VLOOKUP(Sales!E:E, Table2[#All], 3,FALSE)</f>
        <v>Clothing</v>
      </c>
      <c r="I340" s="3" t="str">
        <f>VLOOKUP(D:D,Table3[#All], 4, FALSE)</f>
        <v>US</v>
      </c>
      <c r="J340" s="2">
        <f>VLOOKUP(D:D,Table3[#All], 5, FALSE)</f>
        <v>45255</v>
      </c>
      <c r="K340" s="2" t="str">
        <f>TEXT(Table1[[#This Row],[SIGNUPDATE]], "mmm, yy")</f>
        <v>Nov, 23</v>
      </c>
      <c r="L340" s="3" t="str">
        <f>IFERROR(VLOOKUP(D:D,Customer_info!A:A, 1, FALSE), "Not found")</f>
        <v>CUST079</v>
      </c>
      <c r="M340" s="3"/>
    </row>
    <row r="341" spans="1:13">
      <c r="A341" t="s">
        <v>498</v>
      </c>
      <c r="B341" s="2">
        <v>45365</v>
      </c>
      <c r="C341" s="1" t="str">
        <f t="shared" si="5"/>
        <v>Mar</v>
      </c>
      <c r="D341" t="s">
        <v>296</v>
      </c>
      <c r="E341" t="s">
        <v>34</v>
      </c>
      <c r="F341" s="4">
        <v>4</v>
      </c>
      <c r="G341" s="3">
        <v>1169.3599999999999</v>
      </c>
      <c r="H341" s="3" t="str">
        <f>VLOOKUP(Sales!E:E, Table2[#All], 3,FALSE)</f>
        <v>Sports</v>
      </c>
      <c r="I341" s="3" t="str">
        <f>VLOOKUP(D:D,Table3[#All], 4, FALSE)</f>
        <v>UK</v>
      </c>
      <c r="J341" s="2">
        <f>VLOOKUP(D:D,Table3[#All], 5, FALSE)</f>
        <v>45053</v>
      </c>
      <c r="K341" s="2" t="str">
        <f>TEXT(Table1[[#This Row],[SIGNUPDATE]], "mmm, yy")</f>
        <v>May, 23</v>
      </c>
      <c r="L341" s="3" t="str">
        <f>IFERROR(VLOOKUP(D:D,Customer_info!A:A, 1, FALSE), "Not found")</f>
        <v>CUST112</v>
      </c>
      <c r="M341" s="3"/>
    </row>
    <row r="342" spans="1:13">
      <c r="A342" t="s">
        <v>499</v>
      </c>
      <c r="B342" s="2">
        <v>45432</v>
      </c>
      <c r="C342" s="1" t="str">
        <f t="shared" si="5"/>
        <v>May</v>
      </c>
      <c r="D342" t="s">
        <v>140</v>
      </c>
      <c r="E342" t="s">
        <v>151</v>
      </c>
      <c r="F342" s="4">
        <v>4</v>
      </c>
      <c r="G342" s="3">
        <v>1363.4</v>
      </c>
      <c r="H342" s="3" t="str">
        <f>VLOOKUP(Sales!E:E, Table2[#All], 3,FALSE)</f>
        <v>Electronics</v>
      </c>
      <c r="I342" s="3" t="str">
        <f>VLOOKUP(D:D,Table3[#All], 4, FALSE)</f>
        <v>India</v>
      </c>
      <c r="J342" s="2">
        <f>VLOOKUP(D:D,Table3[#All], 5, FALSE)</f>
        <v>45170</v>
      </c>
      <c r="K342" s="2" t="str">
        <f>TEXT(Table1[[#This Row],[SIGNUPDATE]], "mmm, yy")</f>
        <v>Sep, 23</v>
      </c>
      <c r="L342" s="3" t="str">
        <f>IFERROR(VLOOKUP(D:D,Customer_info!A:A, 1, FALSE), "Not found")</f>
        <v>CUST101</v>
      </c>
      <c r="M342" s="3"/>
    </row>
    <row r="343" spans="1:13">
      <c r="A343" t="s">
        <v>500</v>
      </c>
      <c r="B343" s="2">
        <v>45408</v>
      </c>
      <c r="C343" s="1" t="str">
        <f t="shared" si="5"/>
        <v>Apr</v>
      </c>
      <c r="D343" t="s">
        <v>144</v>
      </c>
      <c r="E343" t="s">
        <v>34</v>
      </c>
      <c r="F343" s="4">
        <v>1</v>
      </c>
      <c r="G343" s="3">
        <v>292.33999999999997</v>
      </c>
      <c r="H343" s="3" t="str">
        <f>VLOOKUP(Sales!E:E, Table2[#All], 3,FALSE)</f>
        <v>Sports</v>
      </c>
      <c r="I343" s="3" t="str">
        <f>VLOOKUP(D:D,Table3[#All], 4, FALSE)</f>
        <v>United Kingdom</v>
      </c>
      <c r="J343" s="2">
        <f>VLOOKUP(D:D,Table3[#All], 5, FALSE)</f>
        <v>44997</v>
      </c>
      <c r="K343" s="2" t="str">
        <f>TEXT(Table1[[#This Row],[SIGNUPDATE]], "mmm, yy")</f>
        <v>Mar, 23</v>
      </c>
      <c r="L343" s="3" t="str">
        <f>IFERROR(VLOOKUP(D:D,Customer_info!A:A, 1, FALSE), "Not found")</f>
        <v>CUST066</v>
      </c>
      <c r="M343" s="3"/>
    </row>
    <row r="344" spans="1:13">
      <c r="A344" t="s">
        <v>501</v>
      </c>
      <c r="B344" s="2">
        <v>45372</v>
      </c>
      <c r="C344" s="1" t="str">
        <f t="shared" si="5"/>
        <v>Mar</v>
      </c>
      <c r="D344" t="s">
        <v>181</v>
      </c>
      <c r="E344" t="s">
        <v>121</v>
      </c>
      <c r="F344" s="4">
        <v>1</v>
      </c>
      <c r="G344" s="3">
        <v>87.14</v>
      </c>
      <c r="H344" s="3" t="str">
        <f>VLOOKUP(Sales!E:E, Table2[#All], 3,FALSE)</f>
        <v>Sports</v>
      </c>
      <c r="I344" s="3" t="str">
        <f>VLOOKUP(D:D,Table3[#All], 4, FALSE)</f>
        <v>Canada</v>
      </c>
      <c r="J344" s="2">
        <f>VLOOKUP(D:D,Table3[#All], 5, FALSE)</f>
        <v>45028</v>
      </c>
      <c r="K344" s="2" t="str">
        <f>TEXT(Table1[[#This Row],[SIGNUPDATE]], "mmm, yy")</f>
        <v>Apr, 23</v>
      </c>
      <c r="L344" s="3" t="str">
        <f>IFERROR(VLOOKUP(D:D,Customer_info!A:A, 1, FALSE), "Not found")</f>
        <v>CUST088</v>
      </c>
      <c r="M344" s="3"/>
    </row>
    <row r="345" spans="1:13">
      <c r="A345" t="s">
        <v>502</v>
      </c>
      <c r="B345" s="2">
        <v>45374</v>
      </c>
      <c r="C345" s="1" t="str">
        <f t="shared" si="5"/>
        <v>Mar</v>
      </c>
      <c r="D345" t="s">
        <v>430</v>
      </c>
      <c r="E345" t="s">
        <v>80</v>
      </c>
      <c r="F345" s="4">
        <v>3</v>
      </c>
      <c r="G345" s="3">
        <v>1299.8399999999999</v>
      </c>
      <c r="H345" s="3" t="str">
        <f>VLOOKUP(Sales!E:E, Table2[#All], 3,FALSE)</f>
        <v>Beauty</v>
      </c>
      <c r="I345" s="3" t="str">
        <f>VLOOKUP(D:D,Table3[#All], 4, FALSE)</f>
        <v>UK</v>
      </c>
      <c r="J345" s="2">
        <f>VLOOKUP(D:D,Table3[#All], 5, FALSE)</f>
        <v>45035</v>
      </c>
      <c r="K345" s="2" t="str">
        <f>TEXT(Table1[[#This Row],[SIGNUPDATE]], "mmm, yy")</f>
        <v>Apr, 23</v>
      </c>
      <c r="L345" s="3" t="str">
        <f>IFERROR(VLOOKUP(D:D,Customer_info!A:A, 1, FALSE), "Not found")</f>
        <v>CUST054</v>
      </c>
      <c r="M345" s="3"/>
    </row>
    <row r="346" spans="1:13">
      <c r="A346" t="s">
        <v>503</v>
      </c>
      <c r="B346" s="2">
        <v>45395</v>
      </c>
      <c r="C346" s="1" t="str">
        <f t="shared" si="5"/>
        <v>Apr</v>
      </c>
      <c r="D346" t="s">
        <v>88</v>
      </c>
      <c r="E346" t="s">
        <v>34</v>
      </c>
      <c r="F346" s="4">
        <v>1</v>
      </c>
      <c r="G346" s="3">
        <v>292.33999999999997</v>
      </c>
      <c r="H346" s="3" t="str">
        <f>VLOOKUP(Sales!E:E, Table2[#All], 3,FALSE)</f>
        <v>Sports</v>
      </c>
      <c r="I346" s="3" t="str">
        <f>VLOOKUP(D:D,Table3[#All], 4, FALSE)</f>
        <v>UK</v>
      </c>
      <c r="J346" s="2">
        <f>VLOOKUP(D:D,Table3[#All], 5, FALSE)</f>
        <v>45067</v>
      </c>
      <c r="K346" s="2" t="str">
        <f>TEXT(Table1[[#This Row],[SIGNUPDATE]], "mmm, yy")</f>
        <v>May, 23</v>
      </c>
      <c r="L346" s="3" t="str">
        <f>IFERROR(VLOOKUP(D:D,Customer_info!A:A, 1, FALSE), "Not found")</f>
        <v>CUST002</v>
      </c>
      <c r="M346" s="3"/>
    </row>
    <row r="347" spans="1:13">
      <c r="A347" t="s">
        <v>504</v>
      </c>
      <c r="B347" s="2">
        <v>45292</v>
      </c>
      <c r="C347" s="1" t="str">
        <f t="shared" si="5"/>
        <v>Jan</v>
      </c>
      <c r="D347" t="s">
        <v>138</v>
      </c>
      <c r="E347" t="s">
        <v>43</v>
      </c>
      <c r="F347" s="4">
        <v>5</v>
      </c>
      <c r="G347" s="3">
        <v>1363.9</v>
      </c>
      <c r="H347" s="3" t="str">
        <f>VLOOKUP(Sales!E:E, Table2[#All], 3,FALSE)</f>
        <v>Clothing</v>
      </c>
      <c r="I347" s="3" t="str">
        <f>VLOOKUP(D:D,Table3[#All], 4, FALSE)</f>
        <v>US</v>
      </c>
      <c r="J347" s="2">
        <f>VLOOKUP(D:D,Table3[#All], 5, FALSE)</f>
        <v>45222</v>
      </c>
      <c r="K347" s="2" t="str">
        <f>TEXT(Table1[[#This Row],[SIGNUPDATE]], "mmm, yy")</f>
        <v>Oct, 23</v>
      </c>
      <c r="L347" s="3" t="str">
        <f>IFERROR(VLOOKUP(D:D,Customer_info!A:A, 1, FALSE), "Not found")</f>
        <v>CUST030</v>
      </c>
      <c r="M347" s="3"/>
    </row>
    <row r="348" spans="1:13">
      <c r="A348" t="s">
        <v>505</v>
      </c>
      <c r="B348" s="2">
        <v>45410</v>
      </c>
      <c r="C348" s="1" t="str">
        <f t="shared" si="5"/>
        <v>Apr</v>
      </c>
      <c r="D348" t="s">
        <v>441</v>
      </c>
      <c r="E348" t="s">
        <v>62</v>
      </c>
      <c r="F348" s="4">
        <v>5</v>
      </c>
      <c r="G348" s="3">
        <v>289.89999999999998</v>
      </c>
      <c r="H348" s="3" t="str">
        <f>VLOOKUP(Sales!E:E, Table2[#All], 3,FALSE)</f>
        <v>Sports</v>
      </c>
      <c r="I348" s="3" t="str">
        <f>VLOOKUP(D:D,Table3[#All], 4, FALSE)</f>
        <v>United Kingdom</v>
      </c>
      <c r="J348" s="2">
        <f>VLOOKUP(D:D,Table3[#All], 5, FALSE)</f>
        <v>45284</v>
      </c>
      <c r="K348" s="2" t="str">
        <f>TEXT(Table1[[#This Row],[SIGNUPDATE]], "mmm, yy")</f>
        <v>Dec, 23</v>
      </c>
      <c r="L348" s="3" t="str">
        <f>IFERROR(VLOOKUP(D:D,Customer_info!A:A, 1, FALSE), "Not found")</f>
        <v>CUST017</v>
      </c>
      <c r="M348" s="3"/>
    </row>
    <row r="349" spans="1:13">
      <c r="A349" t="s">
        <v>506</v>
      </c>
      <c r="B349" s="2">
        <v>45305</v>
      </c>
      <c r="C349" s="1" t="str">
        <f t="shared" si="5"/>
        <v>Jan</v>
      </c>
      <c r="D349" t="s">
        <v>110</v>
      </c>
      <c r="E349" t="s">
        <v>107</v>
      </c>
      <c r="F349" s="4">
        <v>4</v>
      </c>
      <c r="G349" s="3">
        <v>197</v>
      </c>
      <c r="H349" s="3" t="str">
        <f>VLOOKUP(Sales!E:E, Table2[#All], 3,FALSE)</f>
        <v>Sports</v>
      </c>
      <c r="I349" s="3" t="str">
        <f>VLOOKUP(D:D,Table3[#All], 4, FALSE)</f>
        <v>United Kingdom</v>
      </c>
      <c r="J349" s="2">
        <f>VLOOKUP(D:D,Table3[#All], 5, FALSE)</f>
        <v>45062</v>
      </c>
      <c r="K349" s="2" t="str">
        <f>TEXT(Table1[[#This Row],[SIGNUPDATE]], "mmm, yy")</f>
        <v>May, 23</v>
      </c>
      <c r="L349" s="3" t="str">
        <f>IFERROR(VLOOKUP(D:D,Customer_info!A:A, 1, FALSE), "Not found")</f>
        <v>CUST059</v>
      </c>
      <c r="M349" s="3"/>
    </row>
    <row r="350" spans="1:13">
      <c r="A350" t="s">
        <v>507</v>
      </c>
      <c r="B350" s="2">
        <v>45424</v>
      </c>
      <c r="C350" s="1" t="str">
        <f t="shared" si="5"/>
        <v>May</v>
      </c>
      <c r="D350" t="s">
        <v>194</v>
      </c>
      <c r="E350" t="s">
        <v>107</v>
      </c>
      <c r="F350" s="4">
        <v>2</v>
      </c>
      <c r="G350" s="3">
        <v>98.5</v>
      </c>
      <c r="H350" s="3" t="str">
        <f>VLOOKUP(Sales!E:E, Table2[#All], 3,FALSE)</f>
        <v>Sports</v>
      </c>
      <c r="I350" s="3" t="str">
        <f>VLOOKUP(D:D,Table3[#All], 4, FALSE)</f>
        <v>UK</v>
      </c>
      <c r="J350" s="2">
        <f>VLOOKUP(D:D,Table3[#All], 5, FALSE)</f>
        <v>44950</v>
      </c>
      <c r="K350" s="2" t="str">
        <f>TEXT(Table1[[#This Row],[SIGNUPDATE]], "mmm, yy")</f>
        <v>Jan, 23</v>
      </c>
      <c r="L350" s="3" t="str">
        <f>IFERROR(VLOOKUP(D:D,Customer_info!A:A, 1, FALSE), "Not found")</f>
        <v>CUST032</v>
      </c>
      <c r="M350" s="3"/>
    </row>
    <row r="351" spans="1:13">
      <c r="A351" t="s">
        <v>508</v>
      </c>
      <c r="B351" s="2">
        <v>45451</v>
      </c>
      <c r="C351" s="1" t="str">
        <f t="shared" si="5"/>
        <v>Jun</v>
      </c>
      <c r="D351" t="s">
        <v>345</v>
      </c>
      <c r="E351" t="s">
        <v>195</v>
      </c>
      <c r="F351" s="4">
        <v>3</v>
      </c>
      <c r="G351" s="3">
        <v>737.61</v>
      </c>
      <c r="H351" s="3" t="str">
        <f>VLOOKUP(Sales!E:E, Table2[#All], 3,FALSE)</f>
        <v>Beauty</v>
      </c>
      <c r="I351" s="3" t="str">
        <f>VLOOKUP(D:D,Table3[#All], 4, FALSE)</f>
        <v>Canada</v>
      </c>
      <c r="J351" s="2">
        <f>VLOOKUP(D:D,Table3[#All], 5, FALSE)</f>
        <v>45062</v>
      </c>
      <c r="K351" s="2" t="str">
        <f>TEXT(Table1[[#This Row],[SIGNUPDATE]], "mmm, yy")</f>
        <v>May, 23</v>
      </c>
      <c r="L351" s="3" t="str">
        <f>IFERROR(VLOOKUP(D:D,Customer_info!A:A, 1, FALSE), "Not found")</f>
        <v>CUST024</v>
      </c>
      <c r="M351" s="3"/>
    </row>
    <row r="352" spans="1:13">
      <c r="A352" t="s">
        <v>509</v>
      </c>
      <c r="B352" s="2">
        <v>45452</v>
      </c>
      <c r="C352" s="1" t="str">
        <f t="shared" si="5"/>
        <v>Jun</v>
      </c>
      <c r="D352" t="s">
        <v>309</v>
      </c>
      <c r="E352" t="s">
        <v>128</v>
      </c>
      <c r="F352" s="4">
        <v>4</v>
      </c>
      <c r="G352" s="3">
        <v>466.68</v>
      </c>
      <c r="H352" s="3" t="str">
        <f>VLOOKUP(Sales!E:E, Table2[#All], 3,FALSE)</f>
        <v>Home</v>
      </c>
      <c r="I352" s="3" t="str">
        <f>VLOOKUP(D:D,Table3[#All], 4, FALSE)</f>
        <v>US</v>
      </c>
      <c r="J352" s="2">
        <f>VLOOKUP(D:D,Table3[#All], 5, FALSE)</f>
        <v>45103</v>
      </c>
      <c r="K352" s="2" t="str">
        <f>TEXT(Table1[[#This Row],[SIGNUPDATE]], "mmm, yy")</f>
        <v>Jun, 23</v>
      </c>
      <c r="L352" s="3" t="str">
        <f>IFERROR(VLOOKUP(D:D,Customer_info!A:A, 1, FALSE), "Not found")</f>
        <v>CUST023</v>
      </c>
      <c r="M352" s="3"/>
    </row>
    <row r="353" spans="1:13">
      <c r="A353" t="s">
        <v>510</v>
      </c>
      <c r="B353" s="2">
        <v>45305</v>
      </c>
      <c r="C353" s="1" t="str">
        <f t="shared" si="5"/>
        <v>Jan</v>
      </c>
      <c r="D353" t="s">
        <v>73</v>
      </c>
      <c r="E353" t="s">
        <v>54</v>
      </c>
      <c r="F353" s="4">
        <v>4</v>
      </c>
      <c r="G353" s="3">
        <v>522.6</v>
      </c>
      <c r="H353" s="3" t="str">
        <f>VLOOKUP(Sales!E:E, Table2[#All], 3,FALSE)</f>
        <v>Sports</v>
      </c>
      <c r="I353" s="3" t="str">
        <f>VLOOKUP(D:D,Table3[#All], 4, FALSE)</f>
        <v>India</v>
      </c>
      <c r="J353" s="2">
        <f>VLOOKUP(D:D,Table3[#All], 5, FALSE)</f>
        <v>44984</v>
      </c>
      <c r="K353" s="2" t="str">
        <f>TEXT(Table1[[#This Row],[SIGNUPDATE]], "mmm, yy")</f>
        <v>Feb, 23</v>
      </c>
      <c r="L353" s="3" t="str">
        <f>IFERROR(VLOOKUP(D:D,Customer_info!A:A, 1, FALSE), "Not found")</f>
        <v>CUST001</v>
      </c>
      <c r="M353" s="3"/>
    </row>
    <row r="354" spans="1:13">
      <c r="A354" t="s">
        <v>511</v>
      </c>
      <c r="B354" s="2">
        <v>45360</v>
      </c>
      <c r="C354" s="1" t="str">
        <f t="shared" si="5"/>
        <v>Mar</v>
      </c>
      <c r="D354" t="s">
        <v>9</v>
      </c>
      <c r="E354" t="s">
        <v>164</v>
      </c>
      <c r="F354" s="4">
        <v>2</v>
      </c>
      <c r="G354" s="3">
        <v>523.88</v>
      </c>
      <c r="H354" s="3" t="str">
        <f>VLOOKUP(Sales!E:E, Table2[#All], 3,FALSE)</f>
        <v>Electronics</v>
      </c>
      <c r="I354" s="3" t="str">
        <f>VLOOKUP(D:D,Table3[#All], 4, FALSE)</f>
        <v>India</v>
      </c>
      <c r="J354" s="2">
        <f>VLOOKUP(D:D,Table3[#All], 5, FALSE)</f>
        <v>44985</v>
      </c>
      <c r="K354" s="2" t="str">
        <f>TEXT(Table1[[#This Row],[SIGNUPDATE]], "mmm, yy")</f>
        <v>Feb, 23</v>
      </c>
      <c r="L354" s="3" t="str">
        <f>IFERROR(VLOOKUP(D:D,Customer_info!A:A, 1, FALSE), "Not found")</f>
        <v>CUST077</v>
      </c>
      <c r="M354" s="3"/>
    </row>
    <row r="355" spans="1:13">
      <c r="A355" t="s">
        <v>512</v>
      </c>
      <c r="B355" s="2">
        <v>45325</v>
      </c>
      <c r="C355" s="1" t="str">
        <f t="shared" si="5"/>
        <v>Feb</v>
      </c>
      <c r="D355" t="s">
        <v>513</v>
      </c>
      <c r="E355" t="s">
        <v>135</v>
      </c>
      <c r="F355" s="4">
        <v>5</v>
      </c>
      <c r="G355" s="3">
        <v>2156.1</v>
      </c>
      <c r="H355" s="3" t="str">
        <f>VLOOKUP(Sales!E:E, Table2[#All], 3,FALSE)</f>
        <v>Electronics</v>
      </c>
      <c r="I355" s="3" t="str">
        <f>VLOOKUP(D:D,Table3[#All], 4, FALSE)</f>
        <v>UK</v>
      </c>
      <c r="J355" s="2">
        <f>VLOOKUP(D:D,Table3[#All], 5, FALSE)</f>
        <v>45088</v>
      </c>
      <c r="K355" s="2" t="str">
        <f>TEXT(Table1[[#This Row],[SIGNUPDATE]], "mmm, yy")</f>
        <v>Jun, 23</v>
      </c>
      <c r="L355" s="3" t="str">
        <f>IFERROR(VLOOKUP(D:D,Customer_info!A:A, 1, FALSE), "Not found")</f>
        <v>CUST052</v>
      </c>
      <c r="M355" s="3"/>
    </row>
    <row r="356" spans="1:13">
      <c r="A356" t="s">
        <v>514</v>
      </c>
      <c r="B356" s="2">
        <v>45404</v>
      </c>
      <c r="C356" s="1" t="str">
        <f t="shared" si="5"/>
        <v>Apr</v>
      </c>
      <c r="D356" t="s">
        <v>435</v>
      </c>
      <c r="E356" t="s">
        <v>34</v>
      </c>
      <c r="F356" s="4">
        <v>3</v>
      </c>
      <c r="G356" s="3">
        <v>877.02</v>
      </c>
      <c r="H356" s="3" t="str">
        <f>VLOOKUP(Sales!E:E, Table2[#All], 3,FALSE)</f>
        <v>Sports</v>
      </c>
      <c r="I356" s="3" t="str">
        <f>VLOOKUP(D:D,Table3[#All], 4, FALSE)</f>
        <v>US</v>
      </c>
      <c r="J356" s="2">
        <f>VLOOKUP(D:D,Table3[#All], 5, FALSE)</f>
        <v>45131</v>
      </c>
      <c r="K356" s="2" t="str">
        <f>TEXT(Table1[[#This Row],[SIGNUPDATE]], "mmm, yy")</f>
        <v>Jul, 23</v>
      </c>
      <c r="L356" s="3" t="str">
        <f>IFERROR(VLOOKUP(D:D,Customer_info!A:A, 1, FALSE), "Not found")</f>
        <v>CUST108</v>
      </c>
      <c r="M356" s="3"/>
    </row>
    <row r="357" spans="1:13">
      <c r="A357" t="s">
        <v>515</v>
      </c>
      <c r="B357" s="2">
        <v>45323</v>
      </c>
      <c r="C357" s="1" t="str">
        <f t="shared" si="5"/>
        <v>Feb</v>
      </c>
      <c r="D357" t="s">
        <v>166</v>
      </c>
      <c r="E357" t="s">
        <v>151</v>
      </c>
      <c r="F357" s="4">
        <v>4</v>
      </c>
      <c r="G357" s="3">
        <v>1363.4</v>
      </c>
      <c r="H357" s="3" t="str">
        <f>VLOOKUP(Sales!E:E, Table2[#All], 3,FALSE)</f>
        <v>Electronics</v>
      </c>
      <c r="I357" s="3" t="str">
        <f>VLOOKUP(D:D,Table3[#All], 4, FALSE)</f>
        <v>United Kingdom</v>
      </c>
      <c r="J357" s="2">
        <f>VLOOKUP(D:D,Table3[#All], 5, FALSE)</f>
        <v>44959</v>
      </c>
      <c r="K357" s="2" t="str">
        <f>TEXT(Table1[[#This Row],[SIGNUPDATE]], "mmm, yy")</f>
        <v>Feb, 23</v>
      </c>
      <c r="L357" s="3" t="str">
        <f>IFERROR(VLOOKUP(D:D,Customer_info!A:A, 1, FALSE), "Not found")</f>
        <v>CUST113</v>
      </c>
      <c r="M357" s="3"/>
    </row>
    <row r="358" spans="1:13">
      <c r="A358" t="s">
        <v>516</v>
      </c>
      <c r="B358" s="2">
        <v>45453</v>
      </c>
      <c r="C358" s="1" t="str">
        <f t="shared" si="5"/>
        <v>Jun</v>
      </c>
      <c r="D358" t="s">
        <v>73</v>
      </c>
      <c r="E358" t="s">
        <v>10</v>
      </c>
      <c r="F358" s="4">
        <v>1</v>
      </c>
      <c r="G358" s="3">
        <v>39.869999999999997</v>
      </c>
      <c r="H358" s="3" t="str">
        <f>VLOOKUP(Sales!E:E, Table2[#All], 3,FALSE)</f>
        <v>Sports</v>
      </c>
      <c r="I358" s="3" t="str">
        <f>VLOOKUP(D:D,Table3[#All], 4, FALSE)</f>
        <v>India</v>
      </c>
      <c r="J358" s="2">
        <f>VLOOKUP(D:D,Table3[#All], 5, FALSE)</f>
        <v>44984</v>
      </c>
      <c r="K358" s="2" t="str">
        <f>TEXT(Table1[[#This Row],[SIGNUPDATE]], "mmm, yy")</f>
        <v>Feb, 23</v>
      </c>
      <c r="L358" s="3" t="str">
        <f>IFERROR(VLOOKUP(D:D,Customer_info!A:A, 1, FALSE), "Not found")</f>
        <v>CUST001</v>
      </c>
      <c r="M358" s="3"/>
    </row>
    <row r="359" spans="1:13">
      <c r="A359" t="s">
        <v>517</v>
      </c>
      <c r="B359" s="2">
        <v>45353</v>
      </c>
      <c r="C359" s="1" t="str">
        <f t="shared" si="5"/>
        <v>Mar</v>
      </c>
      <c r="D359" t="s">
        <v>201</v>
      </c>
      <c r="E359" t="s">
        <v>37</v>
      </c>
      <c r="F359" s="4">
        <v>5</v>
      </c>
      <c r="G359" s="3">
        <v>1671.6</v>
      </c>
      <c r="H359" s="3" t="str">
        <f>VLOOKUP(Sales!E:E, Table2[#All], 3,FALSE)</f>
        <v>Sports</v>
      </c>
      <c r="I359" s="3" t="str">
        <f>VLOOKUP(D:D,Table3[#All], 4, FALSE)</f>
        <v>India</v>
      </c>
      <c r="J359" s="2">
        <f>VLOOKUP(D:D,Table3[#All], 5, FALSE)</f>
        <v>45279</v>
      </c>
      <c r="K359" s="2" t="str">
        <f>TEXT(Table1[[#This Row],[SIGNUPDATE]], "mmm, yy")</f>
        <v>Dec, 23</v>
      </c>
      <c r="L359" s="3" t="str">
        <f>IFERROR(VLOOKUP(D:D,Customer_info!A:A, 1, FALSE), "Not found")</f>
        <v>CUST048</v>
      </c>
      <c r="M359" s="3"/>
    </row>
    <row r="360" spans="1:13">
      <c r="A360" t="s">
        <v>518</v>
      </c>
      <c r="B360" s="2">
        <v>45371</v>
      </c>
      <c r="C360" s="1" t="str">
        <f t="shared" si="5"/>
        <v>Mar</v>
      </c>
      <c r="D360" t="s">
        <v>112</v>
      </c>
      <c r="E360" t="s">
        <v>10</v>
      </c>
      <c r="F360" s="4">
        <v>2</v>
      </c>
      <c r="G360" s="3">
        <v>79.739999999999995</v>
      </c>
      <c r="H360" s="3" t="str">
        <f>VLOOKUP(Sales!E:E, Table2[#All], 3,FALSE)</f>
        <v>Sports</v>
      </c>
      <c r="I360" s="3" t="str">
        <f>VLOOKUP(D:D,Table3[#All], 4, FALSE)</f>
        <v>India</v>
      </c>
      <c r="J360" s="2">
        <f>VLOOKUP(D:D,Table3[#All], 5, FALSE)</f>
        <v>45093</v>
      </c>
      <c r="K360" s="2" t="str">
        <f>TEXT(Table1[[#This Row],[SIGNUPDATE]], "mmm, yy")</f>
        <v>Jun, 23</v>
      </c>
      <c r="L360" s="3" t="str">
        <f>IFERROR(VLOOKUP(D:D,Customer_info!A:A, 1, FALSE), "Not found")</f>
        <v>CUST050</v>
      </c>
      <c r="M360" s="3"/>
    </row>
    <row r="361" spans="1:13">
      <c r="A361" t="s">
        <v>519</v>
      </c>
      <c r="B361" s="2">
        <v>45295</v>
      </c>
      <c r="C361" s="1" t="str">
        <f t="shared" si="5"/>
        <v>Jan</v>
      </c>
      <c r="D361" t="s">
        <v>301</v>
      </c>
      <c r="E361" t="s">
        <v>27</v>
      </c>
      <c r="F361" s="4">
        <v>5</v>
      </c>
      <c r="G361" s="3">
        <v>2261</v>
      </c>
      <c r="H361" s="3" t="str">
        <f>VLOOKUP(Sales!E:E, Table2[#All], 3,FALSE)</f>
        <v>Beauty</v>
      </c>
      <c r="I361" s="3" t="str">
        <f>VLOOKUP(D:D,Table3[#All], 4, FALSE)</f>
        <v>US</v>
      </c>
      <c r="J361" s="2">
        <f>VLOOKUP(D:D,Table3[#All], 5, FALSE)</f>
        <v>45197</v>
      </c>
      <c r="K361" s="2" t="str">
        <f>TEXT(Table1[[#This Row],[SIGNUPDATE]], "mmm, yy")</f>
        <v>Sep, 23</v>
      </c>
      <c r="L361" s="3" t="str">
        <f>IFERROR(VLOOKUP(D:D,Customer_info!A:A, 1, FALSE), "Not found")</f>
        <v>CUST103</v>
      </c>
      <c r="M36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15FD-DD13-4650-A800-CA1B28C8F277}">
  <dimension ref="A1:D41"/>
  <sheetViews>
    <sheetView workbookViewId="0">
      <selection activeCell="E5" sqref="E5"/>
    </sheetView>
  </sheetViews>
  <sheetFormatPr defaultRowHeight="14.25"/>
  <cols>
    <col min="1" max="1" width="10.375" customWidth="1"/>
    <col min="2" max="2" width="13.375" customWidth="1"/>
    <col min="3" max="3" width="10" bestFit="1" customWidth="1"/>
    <col min="4" max="4" width="10" customWidth="1"/>
  </cols>
  <sheetData>
    <row r="1" spans="1:4" ht="15">
      <c r="A1" s="5" t="s">
        <v>2</v>
      </c>
      <c r="B1" s="5" t="s">
        <v>520</v>
      </c>
      <c r="C1" s="5" t="s">
        <v>521</v>
      </c>
      <c r="D1" s="5" t="s">
        <v>522</v>
      </c>
    </row>
    <row r="2" spans="1:4">
      <c r="A2" t="s">
        <v>135</v>
      </c>
      <c r="B2" t="s">
        <v>523</v>
      </c>
      <c r="C2" t="s">
        <v>524</v>
      </c>
      <c r="D2">
        <v>431.22</v>
      </c>
    </row>
    <row r="3" spans="1:4">
      <c r="A3" t="s">
        <v>164</v>
      </c>
      <c r="B3" t="s">
        <v>525</v>
      </c>
      <c r="C3" t="s">
        <v>524</v>
      </c>
      <c r="D3">
        <v>261.94</v>
      </c>
    </row>
    <row r="4" spans="1:4">
      <c r="A4" t="s">
        <v>131</v>
      </c>
      <c r="B4" t="s">
        <v>526</v>
      </c>
      <c r="C4" t="s">
        <v>527</v>
      </c>
      <c r="D4">
        <v>337.8</v>
      </c>
    </row>
    <row r="5" spans="1:4">
      <c r="A5" t="s">
        <v>303</v>
      </c>
      <c r="B5" t="s">
        <v>528</v>
      </c>
      <c r="C5" t="s">
        <v>529</v>
      </c>
      <c r="D5">
        <v>274.22000000000003</v>
      </c>
    </row>
    <row r="6" spans="1:4">
      <c r="A6" t="s">
        <v>34</v>
      </c>
      <c r="B6" t="s">
        <v>530</v>
      </c>
      <c r="C6" t="s">
        <v>531</v>
      </c>
      <c r="D6">
        <v>292.33999999999997</v>
      </c>
    </row>
    <row r="7" spans="1:4">
      <c r="A7" t="s">
        <v>16</v>
      </c>
      <c r="B7" t="s">
        <v>532</v>
      </c>
      <c r="C7" t="s">
        <v>529</v>
      </c>
      <c r="D7">
        <v>394.46</v>
      </c>
    </row>
    <row r="8" spans="1:4">
      <c r="A8" t="s">
        <v>22</v>
      </c>
      <c r="B8" t="s">
        <v>533</v>
      </c>
      <c r="C8" t="s">
        <v>534</v>
      </c>
      <c r="D8">
        <v>103.3</v>
      </c>
    </row>
    <row r="9" spans="1:4">
      <c r="A9" t="s">
        <v>145</v>
      </c>
      <c r="B9" t="s">
        <v>535</v>
      </c>
      <c r="C9" t="s">
        <v>524</v>
      </c>
      <c r="D9">
        <v>332.9</v>
      </c>
    </row>
    <row r="10" spans="1:4">
      <c r="A10" t="s">
        <v>177</v>
      </c>
      <c r="B10" t="s">
        <v>536</v>
      </c>
      <c r="C10" t="s">
        <v>527</v>
      </c>
      <c r="D10">
        <v>217.55</v>
      </c>
    </row>
    <row r="11" spans="1:4">
      <c r="A11" t="s">
        <v>80</v>
      </c>
      <c r="B11" t="s">
        <v>537</v>
      </c>
      <c r="C11" t="s">
        <v>534</v>
      </c>
      <c r="D11">
        <v>433.28</v>
      </c>
    </row>
    <row r="12" spans="1:4">
      <c r="A12" t="s">
        <v>147</v>
      </c>
      <c r="B12" t="s">
        <v>538</v>
      </c>
      <c r="C12" t="s">
        <v>524</v>
      </c>
      <c r="D12">
        <v>339.95</v>
      </c>
    </row>
    <row r="13" spans="1:4">
      <c r="A13" t="s">
        <v>123</v>
      </c>
      <c r="B13" t="s">
        <v>539</v>
      </c>
      <c r="C13" t="s">
        <v>524</v>
      </c>
      <c r="D13">
        <v>39.700000000000003</v>
      </c>
    </row>
    <row r="14" spans="1:4">
      <c r="A14" t="s">
        <v>67</v>
      </c>
      <c r="B14" t="s">
        <v>540</v>
      </c>
      <c r="C14" t="s">
        <v>527</v>
      </c>
      <c r="D14">
        <v>402.29</v>
      </c>
    </row>
    <row r="15" spans="1:4">
      <c r="A15" t="s">
        <v>97</v>
      </c>
      <c r="B15" t="s">
        <v>541</v>
      </c>
      <c r="C15" t="s">
        <v>524</v>
      </c>
      <c r="D15">
        <v>131.84</v>
      </c>
    </row>
    <row r="16" spans="1:4">
      <c r="A16" t="s">
        <v>43</v>
      </c>
      <c r="B16" t="s">
        <v>542</v>
      </c>
      <c r="C16" t="s">
        <v>529</v>
      </c>
      <c r="D16">
        <v>272.77999999999997</v>
      </c>
    </row>
    <row r="17" spans="1:4">
      <c r="A17" t="s">
        <v>71</v>
      </c>
      <c r="B17" t="s">
        <v>543</v>
      </c>
      <c r="C17" t="s">
        <v>529</v>
      </c>
      <c r="D17">
        <v>216.72</v>
      </c>
    </row>
    <row r="18" spans="1:4">
      <c r="A18" t="s">
        <v>13</v>
      </c>
      <c r="B18" t="s">
        <v>544</v>
      </c>
      <c r="C18" t="s">
        <v>527</v>
      </c>
      <c r="D18">
        <v>236.69</v>
      </c>
    </row>
    <row r="19" spans="1:4">
      <c r="A19" t="s">
        <v>113</v>
      </c>
      <c r="B19" t="s">
        <v>545</v>
      </c>
      <c r="C19" t="s">
        <v>524</v>
      </c>
      <c r="D19">
        <v>227.13</v>
      </c>
    </row>
    <row r="20" spans="1:4">
      <c r="A20" t="s">
        <v>62</v>
      </c>
      <c r="B20" t="s">
        <v>546</v>
      </c>
      <c r="C20" t="s">
        <v>531</v>
      </c>
      <c r="D20">
        <v>57.98</v>
      </c>
    </row>
    <row r="21" spans="1:4">
      <c r="A21" t="s">
        <v>7</v>
      </c>
      <c r="B21" t="s">
        <v>547</v>
      </c>
      <c r="C21" t="s">
        <v>531</v>
      </c>
      <c r="D21">
        <v>419.65</v>
      </c>
    </row>
    <row r="22" spans="1:4">
      <c r="A22" t="s">
        <v>224</v>
      </c>
      <c r="B22" t="s">
        <v>548</v>
      </c>
      <c r="C22" t="s">
        <v>524</v>
      </c>
      <c r="D22">
        <v>463.92</v>
      </c>
    </row>
    <row r="23" spans="1:4">
      <c r="A23" t="s">
        <v>59</v>
      </c>
      <c r="B23" t="s">
        <v>549</v>
      </c>
      <c r="C23" t="s">
        <v>529</v>
      </c>
      <c r="D23">
        <v>91.49</v>
      </c>
    </row>
    <row r="24" spans="1:4">
      <c r="A24" t="s">
        <v>195</v>
      </c>
      <c r="B24" t="s">
        <v>550</v>
      </c>
      <c r="C24" t="s">
        <v>534</v>
      </c>
      <c r="D24">
        <v>245.87</v>
      </c>
    </row>
    <row r="25" spans="1:4">
      <c r="A25" t="s">
        <v>27</v>
      </c>
      <c r="B25" t="s">
        <v>551</v>
      </c>
      <c r="C25" t="s">
        <v>534</v>
      </c>
      <c r="D25">
        <v>452.2</v>
      </c>
    </row>
    <row r="26" spans="1:4">
      <c r="A26" t="s">
        <v>259</v>
      </c>
      <c r="B26" t="s">
        <v>552</v>
      </c>
      <c r="C26" t="s">
        <v>529</v>
      </c>
      <c r="D26">
        <v>195.7</v>
      </c>
    </row>
    <row r="27" spans="1:4">
      <c r="A27" t="s">
        <v>102</v>
      </c>
      <c r="B27" t="s">
        <v>553</v>
      </c>
      <c r="C27" t="s">
        <v>534</v>
      </c>
      <c r="D27">
        <v>139.94999999999999</v>
      </c>
    </row>
    <row r="28" spans="1:4">
      <c r="A28" t="s">
        <v>25</v>
      </c>
      <c r="B28" t="s">
        <v>554</v>
      </c>
      <c r="C28" t="s">
        <v>534</v>
      </c>
      <c r="D28">
        <v>149.77000000000001</v>
      </c>
    </row>
    <row r="29" spans="1:4">
      <c r="A29" t="s">
        <v>37</v>
      </c>
      <c r="B29" t="s">
        <v>555</v>
      </c>
      <c r="C29" t="s">
        <v>531</v>
      </c>
      <c r="D29">
        <v>334.32</v>
      </c>
    </row>
    <row r="30" spans="1:4">
      <c r="A30" t="s">
        <v>51</v>
      </c>
      <c r="B30" t="s">
        <v>556</v>
      </c>
      <c r="C30" t="s">
        <v>534</v>
      </c>
      <c r="D30">
        <v>85.85</v>
      </c>
    </row>
    <row r="31" spans="1:4">
      <c r="A31" t="s">
        <v>128</v>
      </c>
      <c r="B31" t="s">
        <v>557</v>
      </c>
      <c r="C31" t="s">
        <v>527</v>
      </c>
      <c r="D31">
        <v>116.67</v>
      </c>
    </row>
    <row r="32" spans="1:4">
      <c r="A32" t="s">
        <v>48</v>
      </c>
      <c r="B32" t="s">
        <v>558</v>
      </c>
      <c r="C32" t="s">
        <v>524</v>
      </c>
      <c r="D32">
        <v>293.8</v>
      </c>
    </row>
    <row r="33" spans="1:4">
      <c r="A33" t="s">
        <v>10</v>
      </c>
      <c r="B33" t="s">
        <v>559</v>
      </c>
      <c r="C33" t="s">
        <v>531</v>
      </c>
      <c r="D33">
        <v>39.869999999999997</v>
      </c>
    </row>
    <row r="34" spans="1:4">
      <c r="A34" t="s">
        <v>40</v>
      </c>
      <c r="B34" t="s">
        <v>560</v>
      </c>
      <c r="C34" t="s">
        <v>527</v>
      </c>
      <c r="D34">
        <v>38.01</v>
      </c>
    </row>
    <row r="35" spans="1:4">
      <c r="A35" t="s">
        <v>230</v>
      </c>
      <c r="B35" t="s">
        <v>561</v>
      </c>
      <c r="C35" t="s">
        <v>531</v>
      </c>
      <c r="D35">
        <v>243.63</v>
      </c>
    </row>
    <row r="36" spans="1:4">
      <c r="A36" t="s">
        <v>121</v>
      </c>
      <c r="B36" t="s">
        <v>562</v>
      </c>
      <c r="C36" t="s">
        <v>531</v>
      </c>
      <c r="D36">
        <v>87.14</v>
      </c>
    </row>
    <row r="37" spans="1:4">
      <c r="A37" t="s">
        <v>107</v>
      </c>
      <c r="B37" t="s">
        <v>563</v>
      </c>
      <c r="C37" t="s">
        <v>531</v>
      </c>
      <c r="D37">
        <v>49.25</v>
      </c>
    </row>
    <row r="38" spans="1:4">
      <c r="A38" t="s">
        <v>159</v>
      </c>
      <c r="B38" t="s">
        <v>564</v>
      </c>
      <c r="C38" t="s">
        <v>529</v>
      </c>
      <c r="D38">
        <v>43.58</v>
      </c>
    </row>
    <row r="39" spans="1:4">
      <c r="A39" t="s">
        <v>151</v>
      </c>
      <c r="B39" t="s">
        <v>565</v>
      </c>
      <c r="C39" t="s">
        <v>524</v>
      </c>
      <c r="D39">
        <v>340.85</v>
      </c>
    </row>
    <row r="40" spans="1:4">
      <c r="A40" t="s">
        <v>19</v>
      </c>
      <c r="B40" t="s">
        <v>566</v>
      </c>
      <c r="C40" t="s">
        <v>529</v>
      </c>
      <c r="D40">
        <v>207.85</v>
      </c>
    </row>
    <row r="41" spans="1:4">
      <c r="A41" t="s">
        <v>54</v>
      </c>
      <c r="B41" t="s">
        <v>567</v>
      </c>
      <c r="C41" t="s">
        <v>531</v>
      </c>
      <c r="D41">
        <v>130.65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6A19-B03F-4CA2-8C24-06C2088ECD4A}">
  <dimension ref="A1:H121"/>
  <sheetViews>
    <sheetView workbookViewId="0">
      <selection activeCell="F2" sqref="F2"/>
    </sheetView>
  </sheetViews>
  <sheetFormatPr defaultRowHeight="14.25"/>
  <cols>
    <col min="1" max="1" width="11.875" customWidth="1"/>
    <col min="2" max="2" width="14.875" customWidth="1"/>
    <col min="3" max="3" width="22.375" bestFit="1" customWidth="1"/>
    <col min="4" max="4" width="13.875" bestFit="1" customWidth="1"/>
    <col min="5" max="5" width="11.625" style="2" customWidth="1"/>
  </cols>
  <sheetData>
    <row r="1" spans="1:5" ht="15">
      <c r="A1" s="5" t="s">
        <v>1</v>
      </c>
      <c r="B1" s="5" t="s">
        <v>568</v>
      </c>
      <c r="C1" s="5" t="s">
        <v>569</v>
      </c>
      <c r="D1" s="5" t="s">
        <v>570</v>
      </c>
      <c r="E1" s="6" t="s">
        <v>571</v>
      </c>
    </row>
    <row r="2" spans="1:5">
      <c r="A2" t="s">
        <v>73</v>
      </c>
      <c r="B2" t="s">
        <v>572</v>
      </c>
      <c r="C2" t="s">
        <v>573</v>
      </c>
      <c r="D2" t="s">
        <v>574</v>
      </c>
      <c r="E2" s="2">
        <v>44984</v>
      </c>
    </row>
    <row r="3" spans="1:5">
      <c r="A3" t="s">
        <v>88</v>
      </c>
      <c r="B3" t="s">
        <v>575</v>
      </c>
      <c r="C3" t="s">
        <v>576</v>
      </c>
      <c r="D3" t="s">
        <v>577</v>
      </c>
      <c r="E3" s="2">
        <v>45067</v>
      </c>
    </row>
    <row r="4" spans="1:5">
      <c r="A4" t="s">
        <v>169</v>
      </c>
      <c r="B4" t="s">
        <v>578</v>
      </c>
      <c r="C4" t="s">
        <v>579</v>
      </c>
      <c r="D4" t="s">
        <v>580</v>
      </c>
      <c r="E4" s="2">
        <v>45041</v>
      </c>
    </row>
    <row r="5" spans="1:5">
      <c r="A5" t="s">
        <v>409</v>
      </c>
      <c r="B5" t="s">
        <v>581</v>
      </c>
      <c r="C5" t="s">
        <v>582</v>
      </c>
      <c r="D5" t="s">
        <v>580</v>
      </c>
      <c r="E5" s="2">
        <v>44979</v>
      </c>
    </row>
    <row r="6" spans="1:5">
      <c r="A6" t="s">
        <v>134</v>
      </c>
      <c r="B6" t="s">
        <v>583</v>
      </c>
      <c r="C6" t="s">
        <v>584</v>
      </c>
      <c r="D6" t="s">
        <v>574</v>
      </c>
      <c r="E6" s="2">
        <v>45206</v>
      </c>
    </row>
    <row r="7" spans="1:5">
      <c r="A7" t="s">
        <v>29</v>
      </c>
      <c r="B7" t="s">
        <v>585</v>
      </c>
      <c r="C7" t="s">
        <v>586</v>
      </c>
      <c r="D7" t="s">
        <v>577</v>
      </c>
      <c r="E7" s="2">
        <v>45229</v>
      </c>
    </row>
    <row r="8" spans="1:5">
      <c r="A8" t="s">
        <v>587</v>
      </c>
      <c r="B8" t="s">
        <v>588</v>
      </c>
      <c r="C8" t="s">
        <v>589</v>
      </c>
      <c r="D8" t="s">
        <v>590</v>
      </c>
      <c r="E8" s="2">
        <v>44943</v>
      </c>
    </row>
    <row r="9" spans="1:5">
      <c r="A9" t="s">
        <v>244</v>
      </c>
      <c r="B9" t="s">
        <v>591</v>
      </c>
      <c r="C9" t="s">
        <v>592</v>
      </c>
      <c r="D9" t="s">
        <v>577</v>
      </c>
      <c r="E9" s="2">
        <v>44974</v>
      </c>
    </row>
    <row r="10" spans="1:5">
      <c r="A10" t="s">
        <v>228</v>
      </c>
      <c r="B10" t="s">
        <v>593</v>
      </c>
      <c r="C10" t="s">
        <v>594</v>
      </c>
      <c r="D10" t="s">
        <v>580</v>
      </c>
      <c r="E10" s="2">
        <v>45046</v>
      </c>
    </row>
    <row r="11" spans="1:5">
      <c r="A11" t="s">
        <v>205</v>
      </c>
      <c r="B11" t="s">
        <v>595</v>
      </c>
      <c r="C11" t="s">
        <v>596</v>
      </c>
      <c r="D11" t="s">
        <v>597</v>
      </c>
      <c r="E11" s="2">
        <v>45235</v>
      </c>
    </row>
    <row r="12" spans="1:5">
      <c r="A12" t="s">
        <v>279</v>
      </c>
      <c r="B12" t="s">
        <v>598</v>
      </c>
      <c r="C12" t="s">
        <v>599</v>
      </c>
      <c r="D12" t="s">
        <v>577</v>
      </c>
      <c r="E12" s="2">
        <v>45214</v>
      </c>
    </row>
    <row r="13" spans="1:5">
      <c r="A13" t="s">
        <v>149</v>
      </c>
      <c r="B13" t="s">
        <v>600</v>
      </c>
      <c r="C13" t="s">
        <v>601</v>
      </c>
      <c r="D13" t="s">
        <v>580</v>
      </c>
      <c r="E13" s="2">
        <v>45259</v>
      </c>
    </row>
    <row r="14" spans="1:5">
      <c r="A14" t="s">
        <v>466</v>
      </c>
      <c r="B14" t="s">
        <v>602</v>
      </c>
      <c r="C14" t="s">
        <v>603</v>
      </c>
      <c r="D14" t="s">
        <v>574</v>
      </c>
      <c r="E14" s="2">
        <v>45206</v>
      </c>
    </row>
    <row r="15" spans="1:5">
      <c r="A15" t="s">
        <v>96</v>
      </c>
      <c r="B15" t="s">
        <v>604</v>
      </c>
      <c r="C15" t="s">
        <v>605</v>
      </c>
      <c r="D15" t="s">
        <v>590</v>
      </c>
      <c r="E15" s="2">
        <v>45039</v>
      </c>
    </row>
    <row r="16" spans="1:5">
      <c r="A16" t="s">
        <v>240</v>
      </c>
      <c r="B16" t="s">
        <v>606</v>
      </c>
      <c r="C16" t="s">
        <v>607</v>
      </c>
      <c r="D16" t="s">
        <v>590</v>
      </c>
      <c r="E16" s="2">
        <v>45228</v>
      </c>
    </row>
    <row r="17" spans="1:8">
      <c r="A17" t="s">
        <v>294</v>
      </c>
      <c r="B17" t="s">
        <v>608</v>
      </c>
      <c r="C17" t="s">
        <v>609</v>
      </c>
      <c r="D17" t="s">
        <v>610</v>
      </c>
      <c r="E17" s="2">
        <v>44930</v>
      </c>
    </row>
    <row r="18" spans="1:8">
      <c r="A18" t="s">
        <v>441</v>
      </c>
      <c r="B18" t="s">
        <v>611</v>
      </c>
      <c r="C18" t="s">
        <v>612</v>
      </c>
      <c r="D18" t="s">
        <v>580</v>
      </c>
      <c r="E18" s="2">
        <v>45284</v>
      </c>
      <c r="H18" t="s">
        <v>823</v>
      </c>
    </row>
    <row r="19" spans="1:8">
      <c r="A19" t="s">
        <v>18</v>
      </c>
      <c r="B19" t="s">
        <v>613</v>
      </c>
      <c r="C19" t="s">
        <v>614</v>
      </c>
      <c r="D19" t="s">
        <v>590</v>
      </c>
      <c r="E19" s="2">
        <v>45101</v>
      </c>
    </row>
    <row r="20" spans="1:8">
      <c r="A20" t="s">
        <v>282</v>
      </c>
      <c r="B20" t="s">
        <v>615</v>
      </c>
      <c r="C20" t="s">
        <v>616</v>
      </c>
      <c r="D20" t="s">
        <v>610</v>
      </c>
      <c r="E20" s="2">
        <v>45006</v>
      </c>
    </row>
    <row r="21" spans="1:8">
      <c r="A21" t="s">
        <v>268</v>
      </c>
      <c r="B21" t="s">
        <v>617</v>
      </c>
      <c r="C21" t="s">
        <v>618</v>
      </c>
      <c r="D21" t="s">
        <v>580</v>
      </c>
      <c r="E21" s="2">
        <v>45099</v>
      </c>
    </row>
    <row r="22" spans="1:8">
      <c r="A22" t="s">
        <v>31</v>
      </c>
      <c r="B22" t="s">
        <v>619</v>
      </c>
      <c r="C22" t="s">
        <v>620</v>
      </c>
      <c r="D22" t="s">
        <v>577</v>
      </c>
      <c r="E22" s="2">
        <v>44974</v>
      </c>
    </row>
    <row r="23" spans="1:8">
      <c r="A23" t="s">
        <v>322</v>
      </c>
      <c r="B23" t="s">
        <v>621</v>
      </c>
      <c r="C23" t="s">
        <v>622</v>
      </c>
      <c r="D23" t="s">
        <v>590</v>
      </c>
      <c r="E23" s="2">
        <v>44976</v>
      </c>
    </row>
    <row r="24" spans="1:8">
      <c r="A24" t="s">
        <v>309</v>
      </c>
      <c r="B24" t="s">
        <v>623</v>
      </c>
      <c r="C24" t="s">
        <v>624</v>
      </c>
      <c r="D24" t="s">
        <v>610</v>
      </c>
      <c r="E24" s="2">
        <v>45103</v>
      </c>
    </row>
    <row r="25" spans="1:8">
      <c r="A25" t="s">
        <v>345</v>
      </c>
      <c r="B25" t="s">
        <v>625</v>
      </c>
      <c r="C25" t="s">
        <v>626</v>
      </c>
      <c r="D25" t="s">
        <v>597</v>
      </c>
      <c r="E25" s="2">
        <v>45062</v>
      </c>
    </row>
    <row r="26" spans="1:8">
      <c r="A26" t="s">
        <v>39</v>
      </c>
      <c r="B26" t="s">
        <v>627</v>
      </c>
      <c r="C26" t="s">
        <v>628</v>
      </c>
      <c r="D26" t="s">
        <v>577</v>
      </c>
      <c r="E26" s="2">
        <v>45162</v>
      </c>
    </row>
    <row r="27" spans="1:8">
      <c r="A27" t="s">
        <v>248</v>
      </c>
      <c r="B27" t="s">
        <v>629</v>
      </c>
      <c r="C27" t="s">
        <v>630</v>
      </c>
      <c r="D27" t="s">
        <v>597</v>
      </c>
      <c r="E27" s="2">
        <v>44990</v>
      </c>
    </row>
    <row r="28" spans="1:8">
      <c r="A28" t="s">
        <v>69</v>
      </c>
      <c r="B28" t="s">
        <v>631</v>
      </c>
      <c r="C28" t="s">
        <v>632</v>
      </c>
      <c r="D28" t="s">
        <v>590</v>
      </c>
      <c r="E28" s="2">
        <v>44967</v>
      </c>
    </row>
    <row r="29" spans="1:8">
      <c r="A29" t="s">
        <v>633</v>
      </c>
      <c r="B29" t="s">
        <v>634</v>
      </c>
      <c r="C29" t="s">
        <v>635</v>
      </c>
      <c r="D29" t="s">
        <v>597</v>
      </c>
      <c r="E29" s="2">
        <v>45077</v>
      </c>
    </row>
    <row r="30" spans="1:8">
      <c r="A30" t="s">
        <v>242</v>
      </c>
      <c r="B30" t="s">
        <v>636</v>
      </c>
      <c r="C30" t="s">
        <v>637</v>
      </c>
      <c r="D30" t="s">
        <v>574</v>
      </c>
      <c r="E30" s="2">
        <v>45243</v>
      </c>
    </row>
    <row r="31" spans="1:8">
      <c r="A31" t="s">
        <v>138</v>
      </c>
      <c r="B31" t="s">
        <v>638</v>
      </c>
      <c r="C31" t="s">
        <v>639</v>
      </c>
      <c r="D31" t="s">
        <v>610</v>
      </c>
      <c r="E31" s="2">
        <v>45222</v>
      </c>
    </row>
    <row r="32" spans="1:8">
      <c r="A32" t="s">
        <v>86</v>
      </c>
      <c r="B32" t="s">
        <v>640</v>
      </c>
      <c r="C32" t="s">
        <v>641</v>
      </c>
      <c r="D32" t="s">
        <v>580</v>
      </c>
      <c r="E32" s="2">
        <v>45287</v>
      </c>
    </row>
    <row r="33" spans="1:5">
      <c r="A33" t="s">
        <v>194</v>
      </c>
      <c r="B33" t="s">
        <v>642</v>
      </c>
      <c r="C33" t="s">
        <v>643</v>
      </c>
      <c r="D33" t="s">
        <v>577</v>
      </c>
      <c r="E33" s="2">
        <v>44950</v>
      </c>
    </row>
    <row r="34" spans="1:5">
      <c r="A34" t="s">
        <v>421</v>
      </c>
      <c r="B34" t="s">
        <v>644</v>
      </c>
      <c r="C34" t="s">
        <v>645</v>
      </c>
      <c r="D34" t="s">
        <v>574</v>
      </c>
      <c r="E34" s="2">
        <v>45043</v>
      </c>
    </row>
    <row r="35" spans="1:5">
      <c r="A35" t="s">
        <v>77</v>
      </c>
      <c r="B35" t="s">
        <v>646</v>
      </c>
      <c r="C35" t="s">
        <v>647</v>
      </c>
      <c r="D35" t="s">
        <v>610</v>
      </c>
      <c r="E35" s="2">
        <v>44967</v>
      </c>
    </row>
    <row r="36" spans="1:5">
      <c r="A36" t="s">
        <v>175</v>
      </c>
      <c r="B36" t="s">
        <v>648</v>
      </c>
      <c r="C36" t="s">
        <v>649</v>
      </c>
      <c r="D36" t="s">
        <v>580</v>
      </c>
      <c r="E36" s="2">
        <v>44978</v>
      </c>
    </row>
    <row r="37" spans="1:5">
      <c r="A37" t="s">
        <v>210</v>
      </c>
      <c r="B37" t="s">
        <v>650</v>
      </c>
      <c r="C37" t="s">
        <v>651</v>
      </c>
      <c r="D37" t="s">
        <v>590</v>
      </c>
      <c r="E37" s="2">
        <v>45069</v>
      </c>
    </row>
    <row r="38" spans="1:5">
      <c r="A38" t="s">
        <v>652</v>
      </c>
      <c r="B38" t="s">
        <v>653</v>
      </c>
      <c r="C38" t="s">
        <v>654</v>
      </c>
      <c r="D38" t="s">
        <v>590</v>
      </c>
      <c r="E38" s="2">
        <v>45252</v>
      </c>
    </row>
    <row r="39" spans="1:5">
      <c r="A39" t="s">
        <v>21</v>
      </c>
      <c r="B39" t="s">
        <v>655</v>
      </c>
      <c r="C39" t="s">
        <v>656</v>
      </c>
      <c r="D39" t="s">
        <v>610</v>
      </c>
      <c r="E39" s="2">
        <v>45010</v>
      </c>
    </row>
    <row r="40" spans="1:5">
      <c r="A40" t="s">
        <v>376</v>
      </c>
      <c r="B40" t="s">
        <v>657</v>
      </c>
      <c r="C40" t="s">
        <v>658</v>
      </c>
      <c r="D40" t="s">
        <v>610</v>
      </c>
      <c r="E40" s="2">
        <v>45108</v>
      </c>
    </row>
    <row r="41" spans="1:5">
      <c r="A41" t="s">
        <v>357</v>
      </c>
      <c r="B41" t="s">
        <v>659</v>
      </c>
      <c r="C41" t="s">
        <v>660</v>
      </c>
      <c r="D41" t="s">
        <v>580</v>
      </c>
      <c r="E41" s="2">
        <v>45270</v>
      </c>
    </row>
    <row r="42" spans="1:5">
      <c r="A42" t="s">
        <v>33</v>
      </c>
      <c r="B42" t="s">
        <v>661</v>
      </c>
      <c r="C42" t="s">
        <v>662</v>
      </c>
      <c r="D42" t="s">
        <v>610</v>
      </c>
      <c r="E42" s="2">
        <v>45286</v>
      </c>
    </row>
    <row r="43" spans="1:5">
      <c r="A43" t="s">
        <v>125</v>
      </c>
      <c r="B43" t="s">
        <v>663</v>
      </c>
      <c r="C43" t="s">
        <v>664</v>
      </c>
      <c r="D43" t="s">
        <v>574</v>
      </c>
      <c r="E43" s="2">
        <v>45258</v>
      </c>
    </row>
    <row r="44" spans="1:5">
      <c r="A44" t="s">
        <v>45</v>
      </c>
      <c r="B44" t="s">
        <v>665</v>
      </c>
      <c r="C44" t="s">
        <v>666</v>
      </c>
      <c r="D44" t="s">
        <v>577</v>
      </c>
      <c r="E44" s="2">
        <v>45238</v>
      </c>
    </row>
    <row r="45" spans="1:5">
      <c r="A45" t="s">
        <v>366</v>
      </c>
      <c r="B45" t="s">
        <v>667</v>
      </c>
      <c r="C45" t="s">
        <v>668</v>
      </c>
      <c r="D45" t="s">
        <v>574</v>
      </c>
      <c r="E45" s="2">
        <v>45014</v>
      </c>
    </row>
    <row r="46" spans="1:5">
      <c r="A46" t="s">
        <v>257</v>
      </c>
      <c r="B46" t="s">
        <v>669</v>
      </c>
      <c r="C46" t="s">
        <v>670</v>
      </c>
      <c r="D46" t="s">
        <v>597</v>
      </c>
      <c r="E46" s="2">
        <v>45052</v>
      </c>
    </row>
    <row r="47" spans="1:5">
      <c r="A47" t="s">
        <v>213</v>
      </c>
      <c r="B47" t="s">
        <v>671</v>
      </c>
      <c r="C47" t="s">
        <v>672</v>
      </c>
      <c r="D47" t="s">
        <v>580</v>
      </c>
      <c r="E47" s="2">
        <v>45163</v>
      </c>
    </row>
    <row r="48" spans="1:5">
      <c r="A48" t="s">
        <v>234</v>
      </c>
      <c r="B48" t="s">
        <v>673</v>
      </c>
      <c r="C48" t="s">
        <v>674</v>
      </c>
      <c r="D48" t="s">
        <v>590</v>
      </c>
      <c r="E48" s="2">
        <v>45065</v>
      </c>
    </row>
    <row r="49" spans="1:5">
      <c r="A49" t="s">
        <v>201</v>
      </c>
      <c r="B49" t="s">
        <v>675</v>
      </c>
      <c r="C49" t="s">
        <v>676</v>
      </c>
      <c r="D49" t="s">
        <v>574</v>
      </c>
      <c r="E49" s="2">
        <v>45279</v>
      </c>
    </row>
    <row r="50" spans="1:5">
      <c r="A50" t="s">
        <v>47</v>
      </c>
      <c r="B50" t="s">
        <v>677</v>
      </c>
      <c r="C50" t="s">
        <v>678</v>
      </c>
      <c r="D50" t="s">
        <v>597</v>
      </c>
      <c r="E50" s="2">
        <v>45039</v>
      </c>
    </row>
    <row r="51" spans="1:5">
      <c r="A51" t="s">
        <v>112</v>
      </c>
      <c r="B51" t="s">
        <v>679</v>
      </c>
      <c r="C51" t="s">
        <v>680</v>
      </c>
      <c r="D51" t="s">
        <v>574</v>
      </c>
      <c r="E51" s="2">
        <v>45093</v>
      </c>
    </row>
    <row r="52" spans="1:5">
      <c r="A52" t="s">
        <v>311</v>
      </c>
      <c r="B52" t="s">
        <v>681</v>
      </c>
      <c r="C52" t="s">
        <v>682</v>
      </c>
      <c r="D52" t="s">
        <v>577</v>
      </c>
      <c r="E52" s="2">
        <v>45044</v>
      </c>
    </row>
    <row r="53" spans="1:5">
      <c r="A53" t="s">
        <v>513</v>
      </c>
      <c r="B53" t="s">
        <v>683</v>
      </c>
      <c r="C53" t="s">
        <v>684</v>
      </c>
      <c r="D53" t="s">
        <v>577</v>
      </c>
      <c r="E53" s="2">
        <v>45088</v>
      </c>
    </row>
    <row r="54" spans="1:5">
      <c r="A54" t="s">
        <v>42</v>
      </c>
      <c r="B54" t="s">
        <v>685</v>
      </c>
      <c r="C54" t="s">
        <v>686</v>
      </c>
      <c r="D54" t="s">
        <v>590</v>
      </c>
      <c r="E54" s="2">
        <v>45064</v>
      </c>
    </row>
    <row r="55" spans="1:5">
      <c r="A55" t="s">
        <v>430</v>
      </c>
      <c r="B55" t="s">
        <v>687</v>
      </c>
      <c r="C55" t="s">
        <v>688</v>
      </c>
      <c r="D55" t="s">
        <v>577</v>
      </c>
      <c r="E55" s="2">
        <v>45035</v>
      </c>
    </row>
    <row r="56" spans="1:5">
      <c r="A56" t="s">
        <v>438</v>
      </c>
      <c r="B56" t="s">
        <v>689</v>
      </c>
      <c r="C56" t="s">
        <v>690</v>
      </c>
      <c r="D56" t="s">
        <v>597</v>
      </c>
      <c r="E56" s="2">
        <v>45088</v>
      </c>
    </row>
    <row r="57" spans="1:5">
      <c r="A57" t="s">
        <v>75</v>
      </c>
      <c r="B57" t="s">
        <v>691</v>
      </c>
      <c r="C57" t="s">
        <v>692</v>
      </c>
      <c r="D57" t="s">
        <v>580</v>
      </c>
      <c r="E57" s="2">
        <v>45262</v>
      </c>
    </row>
    <row r="58" spans="1:5">
      <c r="A58" t="s">
        <v>693</v>
      </c>
      <c r="B58" t="s">
        <v>694</v>
      </c>
      <c r="C58" t="s">
        <v>695</v>
      </c>
      <c r="D58" t="s">
        <v>590</v>
      </c>
      <c r="E58" s="2">
        <v>45129</v>
      </c>
    </row>
    <row r="59" spans="1:5">
      <c r="A59" t="s">
        <v>254</v>
      </c>
      <c r="B59" t="s">
        <v>696</v>
      </c>
      <c r="C59" t="s">
        <v>697</v>
      </c>
      <c r="D59" t="s">
        <v>574</v>
      </c>
      <c r="E59" s="2">
        <v>45161</v>
      </c>
    </row>
    <row r="60" spans="1:5">
      <c r="A60" t="s">
        <v>110</v>
      </c>
      <c r="B60" t="s">
        <v>698</v>
      </c>
      <c r="C60" t="s">
        <v>699</v>
      </c>
      <c r="D60" t="s">
        <v>580</v>
      </c>
      <c r="E60" s="2">
        <v>45062</v>
      </c>
    </row>
    <row r="61" spans="1:5">
      <c r="A61" t="s">
        <v>24</v>
      </c>
      <c r="B61" t="s">
        <v>700</v>
      </c>
      <c r="C61" t="s">
        <v>701</v>
      </c>
      <c r="D61" t="s">
        <v>580</v>
      </c>
      <c r="E61" s="2">
        <v>45053</v>
      </c>
    </row>
    <row r="62" spans="1:5">
      <c r="A62" t="s">
        <v>64</v>
      </c>
      <c r="B62" t="s">
        <v>702</v>
      </c>
      <c r="C62" t="s">
        <v>703</v>
      </c>
      <c r="D62" t="s">
        <v>574</v>
      </c>
      <c r="E62" s="2">
        <v>45214</v>
      </c>
    </row>
    <row r="63" spans="1:5">
      <c r="A63" t="s">
        <v>173</v>
      </c>
      <c r="B63" t="s">
        <v>704</v>
      </c>
      <c r="C63" t="s">
        <v>705</v>
      </c>
      <c r="D63" t="s">
        <v>597</v>
      </c>
      <c r="E63" s="2">
        <v>45061</v>
      </c>
    </row>
    <row r="64" spans="1:5">
      <c r="A64" t="s">
        <v>208</v>
      </c>
      <c r="B64" t="s">
        <v>706</v>
      </c>
      <c r="C64" t="s">
        <v>707</v>
      </c>
      <c r="D64" t="s">
        <v>574</v>
      </c>
      <c r="E64" s="2">
        <v>45226</v>
      </c>
    </row>
    <row r="65" spans="1:5">
      <c r="A65" t="s">
        <v>217</v>
      </c>
      <c r="B65" t="s">
        <v>708</v>
      </c>
      <c r="C65" t="s">
        <v>709</v>
      </c>
      <c r="D65" t="s">
        <v>590</v>
      </c>
      <c r="E65" s="2">
        <v>45225</v>
      </c>
    </row>
    <row r="66" spans="1:5">
      <c r="A66" t="s">
        <v>710</v>
      </c>
      <c r="B66" t="s">
        <v>711</v>
      </c>
      <c r="C66" t="s">
        <v>712</v>
      </c>
      <c r="D66" t="s">
        <v>590</v>
      </c>
      <c r="E66" s="2">
        <v>45112</v>
      </c>
    </row>
    <row r="67" spans="1:5">
      <c r="A67" t="s">
        <v>144</v>
      </c>
      <c r="B67" t="s">
        <v>713</v>
      </c>
      <c r="C67" t="s">
        <v>714</v>
      </c>
      <c r="D67" t="s">
        <v>580</v>
      </c>
      <c r="E67" s="2">
        <v>44997</v>
      </c>
    </row>
    <row r="68" spans="1:5">
      <c r="A68" t="s">
        <v>263</v>
      </c>
      <c r="B68" t="s">
        <v>715</v>
      </c>
      <c r="C68" t="s">
        <v>716</v>
      </c>
      <c r="D68" t="s">
        <v>597</v>
      </c>
      <c r="E68" s="2">
        <v>45179</v>
      </c>
    </row>
    <row r="69" spans="1:5">
      <c r="A69" t="s">
        <v>333</v>
      </c>
      <c r="B69" t="s">
        <v>717</v>
      </c>
      <c r="C69" t="s">
        <v>718</v>
      </c>
      <c r="D69" t="s">
        <v>577</v>
      </c>
      <c r="E69" s="2">
        <v>44951</v>
      </c>
    </row>
    <row r="70" spans="1:5">
      <c r="A70" t="s">
        <v>197</v>
      </c>
      <c r="B70" t="s">
        <v>719</v>
      </c>
      <c r="C70" t="s">
        <v>720</v>
      </c>
      <c r="D70" t="s">
        <v>577</v>
      </c>
      <c r="E70" s="2">
        <v>45005</v>
      </c>
    </row>
    <row r="71" spans="1:5">
      <c r="A71" t="s">
        <v>383</v>
      </c>
      <c r="B71" t="s">
        <v>721</v>
      </c>
      <c r="C71" t="s">
        <v>722</v>
      </c>
      <c r="D71" t="s">
        <v>574</v>
      </c>
      <c r="E71" s="2">
        <v>45008</v>
      </c>
    </row>
    <row r="72" spans="1:5">
      <c r="A72" t="s">
        <v>53</v>
      </c>
      <c r="B72" t="s">
        <v>723</v>
      </c>
      <c r="C72" t="s">
        <v>724</v>
      </c>
      <c r="D72" t="s">
        <v>574</v>
      </c>
      <c r="E72" s="2">
        <v>45143</v>
      </c>
    </row>
    <row r="73" spans="1:5">
      <c r="A73" t="s">
        <v>288</v>
      </c>
      <c r="B73" t="s">
        <v>725</v>
      </c>
      <c r="C73" t="s">
        <v>726</v>
      </c>
      <c r="D73" t="s">
        <v>597</v>
      </c>
      <c r="E73" s="2">
        <v>44959</v>
      </c>
    </row>
    <row r="74" spans="1:5">
      <c r="A74" t="s">
        <v>92</v>
      </c>
      <c r="B74" t="s">
        <v>727</v>
      </c>
      <c r="C74" t="s">
        <v>728</v>
      </c>
      <c r="D74" t="s">
        <v>590</v>
      </c>
      <c r="E74" s="2">
        <v>45122</v>
      </c>
    </row>
    <row r="75" spans="1:5">
      <c r="A75" t="s">
        <v>306</v>
      </c>
      <c r="B75" t="s">
        <v>729</v>
      </c>
      <c r="C75" t="s">
        <v>730</v>
      </c>
      <c r="D75" t="s">
        <v>597</v>
      </c>
      <c r="E75" s="2">
        <v>45166</v>
      </c>
    </row>
    <row r="76" spans="1:5">
      <c r="A76" t="s">
        <v>142</v>
      </c>
      <c r="B76" t="s">
        <v>731</v>
      </c>
      <c r="C76" t="s">
        <v>732</v>
      </c>
      <c r="D76" t="s">
        <v>597</v>
      </c>
      <c r="E76" s="2">
        <v>45055</v>
      </c>
    </row>
    <row r="77" spans="1:5">
      <c r="A77" t="s">
        <v>277</v>
      </c>
      <c r="B77" t="s">
        <v>733</v>
      </c>
      <c r="C77" t="s">
        <v>734</v>
      </c>
      <c r="D77" t="s">
        <v>597</v>
      </c>
      <c r="E77" s="2">
        <v>44932</v>
      </c>
    </row>
    <row r="78" spans="1:5">
      <c r="A78" t="s">
        <v>9</v>
      </c>
      <c r="B78" t="s">
        <v>735</v>
      </c>
      <c r="C78" t="s">
        <v>736</v>
      </c>
      <c r="D78" t="s">
        <v>574</v>
      </c>
      <c r="E78" s="2">
        <v>44985</v>
      </c>
    </row>
    <row r="79" spans="1:5">
      <c r="A79" t="s">
        <v>362</v>
      </c>
      <c r="B79" t="s">
        <v>737</v>
      </c>
      <c r="C79" t="s">
        <v>738</v>
      </c>
      <c r="D79" t="s">
        <v>574</v>
      </c>
      <c r="E79" s="2">
        <v>45201</v>
      </c>
    </row>
    <row r="80" spans="1:5">
      <c r="A80" t="s">
        <v>158</v>
      </c>
      <c r="B80" t="s">
        <v>739</v>
      </c>
      <c r="C80" t="s">
        <v>740</v>
      </c>
      <c r="D80" t="s">
        <v>610</v>
      </c>
      <c r="E80" s="2">
        <v>45255</v>
      </c>
    </row>
    <row r="81" spans="1:5">
      <c r="A81" t="s">
        <v>50</v>
      </c>
      <c r="B81" t="s">
        <v>741</v>
      </c>
      <c r="C81" t="s">
        <v>742</v>
      </c>
      <c r="D81" t="s">
        <v>610</v>
      </c>
      <c r="E81" s="2">
        <v>44984</v>
      </c>
    </row>
    <row r="82" spans="1:5">
      <c r="A82" t="s">
        <v>100</v>
      </c>
      <c r="B82" t="s">
        <v>743</v>
      </c>
      <c r="C82" t="s">
        <v>744</v>
      </c>
      <c r="D82" t="s">
        <v>610</v>
      </c>
      <c r="E82" s="2">
        <v>45149</v>
      </c>
    </row>
    <row r="83" spans="1:5">
      <c r="A83" t="s">
        <v>82</v>
      </c>
      <c r="B83" t="s">
        <v>745</v>
      </c>
      <c r="C83" t="s">
        <v>746</v>
      </c>
      <c r="D83" t="s">
        <v>580</v>
      </c>
      <c r="E83" s="2">
        <v>45159</v>
      </c>
    </row>
    <row r="84" spans="1:5">
      <c r="A84" t="s">
        <v>56</v>
      </c>
      <c r="B84" t="s">
        <v>747</v>
      </c>
      <c r="C84" t="s">
        <v>748</v>
      </c>
      <c r="D84" t="s">
        <v>577</v>
      </c>
      <c r="E84" s="2">
        <v>45061</v>
      </c>
    </row>
    <row r="85" spans="1:5">
      <c r="A85" t="s">
        <v>130</v>
      </c>
      <c r="B85" t="s">
        <v>749</v>
      </c>
      <c r="C85" t="s">
        <v>750</v>
      </c>
      <c r="D85" t="s">
        <v>597</v>
      </c>
      <c r="E85" s="2">
        <v>45018</v>
      </c>
    </row>
    <row r="86" spans="1:5">
      <c r="A86" t="s">
        <v>127</v>
      </c>
      <c r="B86" t="s">
        <v>751</v>
      </c>
      <c r="C86" t="s">
        <v>752</v>
      </c>
      <c r="D86" t="s">
        <v>597</v>
      </c>
      <c r="E86" s="2">
        <v>44981</v>
      </c>
    </row>
    <row r="87" spans="1:5">
      <c r="A87" t="s">
        <v>106</v>
      </c>
      <c r="B87" t="s">
        <v>753</v>
      </c>
      <c r="C87" t="s">
        <v>754</v>
      </c>
      <c r="D87" t="s">
        <v>574</v>
      </c>
      <c r="E87" s="2">
        <v>45079</v>
      </c>
    </row>
    <row r="88" spans="1:5">
      <c r="A88" t="s">
        <v>184</v>
      </c>
      <c r="B88" t="s">
        <v>755</v>
      </c>
      <c r="C88" t="s">
        <v>756</v>
      </c>
      <c r="D88" t="s">
        <v>574</v>
      </c>
      <c r="E88" s="2">
        <v>45186</v>
      </c>
    </row>
    <row r="89" spans="1:5">
      <c r="A89" t="s">
        <v>181</v>
      </c>
      <c r="B89" t="s">
        <v>757</v>
      </c>
      <c r="C89" t="s">
        <v>758</v>
      </c>
      <c r="D89" t="s">
        <v>597</v>
      </c>
      <c r="E89" s="2">
        <v>45028</v>
      </c>
    </row>
    <row r="90" spans="1:5">
      <c r="A90" t="s">
        <v>84</v>
      </c>
      <c r="B90" t="s">
        <v>759</v>
      </c>
      <c r="C90" t="s">
        <v>760</v>
      </c>
      <c r="D90" t="s">
        <v>580</v>
      </c>
      <c r="E90" s="2">
        <v>45118</v>
      </c>
    </row>
    <row r="91" spans="1:5">
      <c r="A91" t="s">
        <v>450</v>
      </c>
      <c r="B91" t="s">
        <v>761</v>
      </c>
      <c r="C91" t="s">
        <v>762</v>
      </c>
      <c r="D91" t="s">
        <v>580</v>
      </c>
      <c r="E91" s="2">
        <v>45203</v>
      </c>
    </row>
    <row r="92" spans="1:5">
      <c r="A92" t="s">
        <v>12</v>
      </c>
      <c r="B92" t="s">
        <v>763</v>
      </c>
      <c r="C92" t="s">
        <v>764</v>
      </c>
      <c r="D92" t="s">
        <v>597</v>
      </c>
      <c r="E92" s="2">
        <v>44927</v>
      </c>
    </row>
    <row r="93" spans="1:5">
      <c r="A93" t="s">
        <v>90</v>
      </c>
      <c r="B93" t="s">
        <v>765</v>
      </c>
      <c r="C93" t="s">
        <v>766</v>
      </c>
      <c r="D93" t="s">
        <v>597</v>
      </c>
      <c r="E93" s="2">
        <v>45092</v>
      </c>
    </row>
    <row r="94" spans="1:5">
      <c r="A94" t="s">
        <v>314</v>
      </c>
      <c r="B94" t="s">
        <v>767</v>
      </c>
      <c r="C94" t="s">
        <v>768</v>
      </c>
      <c r="D94" t="s">
        <v>590</v>
      </c>
      <c r="E94" s="2">
        <v>44936</v>
      </c>
    </row>
    <row r="95" spans="1:5">
      <c r="A95" t="s">
        <v>187</v>
      </c>
      <c r="B95" t="s">
        <v>769</v>
      </c>
      <c r="C95" t="s">
        <v>770</v>
      </c>
      <c r="D95" t="s">
        <v>577</v>
      </c>
      <c r="E95" s="2">
        <v>45112</v>
      </c>
    </row>
    <row r="96" spans="1:5">
      <c r="A96" t="s">
        <v>395</v>
      </c>
      <c r="B96" t="s">
        <v>771</v>
      </c>
      <c r="C96" t="s">
        <v>772</v>
      </c>
      <c r="D96" t="s">
        <v>610</v>
      </c>
      <c r="E96" s="2">
        <v>45049</v>
      </c>
    </row>
    <row r="97" spans="1:5">
      <c r="A97" t="s">
        <v>119</v>
      </c>
      <c r="B97" t="s">
        <v>773</v>
      </c>
      <c r="C97" t="s">
        <v>774</v>
      </c>
      <c r="D97" t="s">
        <v>577</v>
      </c>
      <c r="E97" s="2">
        <v>45050</v>
      </c>
    </row>
    <row r="98" spans="1:5">
      <c r="A98" t="s">
        <v>15</v>
      </c>
      <c r="B98" t="s">
        <v>775</v>
      </c>
      <c r="C98" t="s">
        <v>776</v>
      </c>
      <c r="D98" t="s">
        <v>597</v>
      </c>
      <c r="E98" s="2">
        <v>44967</v>
      </c>
    </row>
    <row r="99" spans="1:5">
      <c r="A99" t="s">
        <v>79</v>
      </c>
      <c r="B99" t="s">
        <v>777</v>
      </c>
      <c r="C99" t="s">
        <v>778</v>
      </c>
      <c r="D99" t="s">
        <v>577</v>
      </c>
      <c r="E99" s="2">
        <v>45175</v>
      </c>
    </row>
    <row r="100" spans="1:5">
      <c r="A100" t="s">
        <v>94</v>
      </c>
      <c r="B100" t="s">
        <v>779</v>
      </c>
      <c r="C100" t="s">
        <v>780</v>
      </c>
      <c r="D100" t="s">
        <v>577</v>
      </c>
      <c r="E100" s="2">
        <v>45199</v>
      </c>
    </row>
    <row r="101" spans="1:5">
      <c r="A101" t="s">
        <v>104</v>
      </c>
      <c r="B101" t="s">
        <v>781</v>
      </c>
      <c r="C101" t="s">
        <v>782</v>
      </c>
      <c r="D101" t="s">
        <v>580</v>
      </c>
      <c r="E101" s="2">
        <v>44992</v>
      </c>
    </row>
    <row r="102" spans="1:5">
      <c r="A102" t="s">
        <v>140</v>
      </c>
      <c r="B102" t="s">
        <v>783</v>
      </c>
      <c r="C102" t="s">
        <v>784</v>
      </c>
      <c r="D102" t="s">
        <v>574</v>
      </c>
      <c r="E102" s="2">
        <v>45170</v>
      </c>
    </row>
    <row r="103" spans="1:5">
      <c r="A103" t="s">
        <v>61</v>
      </c>
      <c r="B103" t="s">
        <v>785</v>
      </c>
      <c r="C103" t="s">
        <v>786</v>
      </c>
      <c r="D103" t="s">
        <v>597</v>
      </c>
      <c r="E103" s="2">
        <v>45011</v>
      </c>
    </row>
    <row r="104" spans="1:5">
      <c r="A104" t="s">
        <v>301</v>
      </c>
      <c r="B104" t="s">
        <v>787</v>
      </c>
      <c r="C104" t="s">
        <v>788</v>
      </c>
      <c r="D104" t="s">
        <v>610</v>
      </c>
      <c r="E104" s="2">
        <v>45197</v>
      </c>
    </row>
    <row r="105" spans="1:5">
      <c r="A105" t="s">
        <v>66</v>
      </c>
      <c r="B105" t="s">
        <v>789</v>
      </c>
      <c r="C105" t="s">
        <v>790</v>
      </c>
      <c r="D105" t="s">
        <v>597</v>
      </c>
      <c r="E105" s="2">
        <v>45143</v>
      </c>
    </row>
    <row r="106" spans="1:5">
      <c r="A106" t="s">
        <v>237</v>
      </c>
      <c r="B106" t="s">
        <v>791</v>
      </c>
      <c r="C106" t="s">
        <v>792</v>
      </c>
      <c r="D106" t="s">
        <v>580</v>
      </c>
      <c r="E106" s="2">
        <v>45203</v>
      </c>
    </row>
    <row r="107" spans="1:5">
      <c r="A107" t="s">
        <v>221</v>
      </c>
      <c r="B107" t="s">
        <v>793</v>
      </c>
      <c r="C107" t="s">
        <v>794</v>
      </c>
      <c r="D107" t="s">
        <v>574</v>
      </c>
      <c r="E107" s="2">
        <v>45280</v>
      </c>
    </row>
    <row r="108" spans="1:5">
      <c r="A108" t="s">
        <v>179</v>
      </c>
      <c r="B108" t="s">
        <v>795</v>
      </c>
      <c r="C108" t="s">
        <v>796</v>
      </c>
      <c r="D108" t="s">
        <v>580</v>
      </c>
      <c r="E108" s="2">
        <v>45292</v>
      </c>
    </row>
    <row r="109" spans="1:5">
      <c r="A109" t="s">
        <v>435</v>
      </c>
      <c r="B109" t="s">
        <v>797</v>
      </c>
      <c r="C109" t="s">
        <v>798</v>
      </c>
      <c r="D109" t="s">
        <v>610</v>
      </c>
      <c r="E109" s="2">
        <v>45131</v>
      </c>
    </row>
    <row r="110" spans="1:5">
      <c r="A110" t="s">
        <v>387</v>
      </c>
      <c r="B110" t="s">
        <v>799</v>
      </c>
      <c r="C110" t="s">
        <v>800</v>
      </c>
      <c r="D110" t="s">
        <v>574</v>
      </c>
      <c r="E110" s="2">
        <v>45259</v>
      </c>
    </row>
    <row r="111" spans="1:5">
      <c r="A111" t="s">
        <v>36</v>
      </c>
      <c r="B111" t="s">
        <v>801</v>
      </c>
      <c r="C111" t="s">
        <v>802</v>
      </c>
      <c r="D111" t="s">
        <v>610</v>
      </c>
      <c r="E111" s="2">
        <v>45151</v>
      </c>
    </row>
    <row r="112" spans="1:5">
      <c r="A112" t="s">
        <v>171</v>
      </c>
      <c r="B112" t="s">
        <v>803</v>
      </c>
      <c r="C112" t="s">
        <v>804</v>
      </c>
      <c r="D112" t="s">
        <v>597</v>
      </c>
      <c r="E112" s="2">
        <v>45158</v>
      </c>
    </row>
    <row r="113" spans="1:5">
      <c r="A113" t="s">
        <v>296</v>
      </c>
      <c r="B113" t="s">
        <v>805</v>
      </c>
      <c r="C113" t="s">
        <v>806</v>
      </c>
      <c r="D113" t="s">
        <v>577</v>
      </c>
      <c r="E113" s="2">
        <v>45053</v>
      </c>
    </row>
    <row r="114" spans="1:5">
      <c r="A114" t="s">
        <v>166</v>
      </c>
      <c r="B114" t="s">
        <v>807</v>
      </c>
      <c r="C114" t="s">
        <v>808</v>
      </c>
      <c r="D114" t="s">
        <v>580</v>
      </c>
      <c r="E114" s="2">
        <v>44959</v>
      </c>
    </row>
    <row r="115" spans="1:5">
      <c r="A115" t="s">
        <v>246</v>
      </c>
      <c r="B115" t="s">
        <v>809</v>
      </c>
      <c r="C115" t="s">
        <v>810</v>
      </c>
      <c r="D115" t="s">
        <v>610</v>
      </c>
      <c r="E115" s="2">
        <v>44937</v>
      </c>
    </row>
    <row r="116" spans="1:5">
      <c r="A116" t="s">
        <v>6</v>
      </c>
      <c r="B116" t="s">
        <v>811</v>
      </c>
      <c r="C116" t="s">
        <v>812</v>
      </c>
      <c r="D116" t="s">
        <v>597</v>
      </c>
      <c r="E116" s="2">
        <v>45210</v>
      </c>
    </row>
    <row r="117" spans="1:5">
      <c r="A117" t="s">
        <v>115</v>
      </c>
      <c r="B117" t="s">
        <v>813</v>
      </c>
      <c r="C117" t="s">
        <v>814</v>
      </c>
      <c r="D117" t="s">
        <v>580</v>
      </c>
      <c r="E117" s="2">
        <v>45228</v>
      </c>
    </row>
    <row r="118" spans="1:5">
      <c r="A118" t="s">
        <v>390</v>
      </c>
      <c r="B118" t="s">
        <v>815</v>
      </c>
      <c r="C118" t="s">
        <v>816</v>
      </c>
      <c r="D118" t="s">
        <v>580</v>
      </c>
      <c r="E118" s="2">
        <v>44930</v>
      </c>
    </row>
    <row r="119" spans="1:5">
      <c r="A119" t="s">
        <v>317</v>
      </c>
      <c r="B119" t="s">
        <v>817</v>
      </c>
      <c r="C119" t="s">
        <v>818</v>
      </c>
      <c r="D119" t="s">
        <v>577</v>
      </c>
      <c r="E119" s="2">
        <v>45289</v>
      </c>
    </row>
    <row r="120" spans="1:5">
      <c r="A120" t="s">
        <v>232</v>
      </c>
      <c r="B120" t="s">
        <v>819</v>
      </c>
      <c r="C120" t="s">
        <v>820</v>
      </c>
      <c r="D120" t="s">
        <v>574</v>
      </c>
      <c r="E120" s="2">
        <v>44957</v>
      </c>
    </row>
    <row r="121" spans="1:5">
      <c r="A121" t="s">
        <v>298</v>
      </c>
      <c r="B121" t="s">
        <v>821</v>
      </c>
      <c r="C121" t="s">
        <v>822</v>
      </c>
      <c r="D121" t="s">
        <v>580</v>
      </c>
      <c r="E121" s="2">
        <v>44961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4AE8-7834-40FB-9075-DF14E332C7C4}">
  <dimension ref="A1:Z155"/>
  <sheetViews>
    <sheetView topLeftCell="A9" zoomScale="85" zoomScaleNormal="85" workbookViewId="0">
      <selection activeCell="H24" sqref="H24"/>
    </sheetView>
  </sheetViews>
  <sheetFormatPr defaultRowHeight="14.25"/>
  <cols>
    <col min="1" max="1" width="15.125" bestFit="1" customWidth="1"/>
    <col min="2" max="2" width="9.375" bestFit="1" customWidth="1"/>
    <col min="3" max="3" width="13.125" bestFit="1" customWidth="1"/>
    <col min="4" max="4" width="16.25" bestFit="1" customWidth="1"/>
    <col min="5" max="5" width="19.25" bestFit="1" customWidth="1"/>
    <col min="6" max="6" width="5.375" bestFit="1" customWidth="1"/>
    <col min="7" max="7" width="13.125" bestFit="1" customWidth="1"/>
    <col min="8" max="8" width="19.25" bestFit="1" customWidth="1"/>
    <col min="9" max="9" width="18" bestFit="1" customWidth="1"/>
    <col min="10" max="10" width="13.125" bestFit="1" customWidth="1"/>
    <col min="11" max="11" width="19.25" bestFit="1" customWidth="1"/>
    <col min="12" max="12" width="16.25" bestFit="1" customWidth="1"/>
    <col min="13" max="15" width="5.375" bestFit="1" customWidth="1"/>
    <col min="16" max="16" width="13.125" bestFit="1" customWidth="1"/>
    <col min="17" max="17" width="17.125" bestFit="1" customWidth="1"/>
    <col min="18" max="18" width="16.625" bestFit="1" customWidth="1"/>
    <col min="19" max="19" width="16.25" bestFit="1" customWidth="1"/>
    <col min="20" max="20" width="8.25" bestFit="1" customWidth="1"/>
    <col min="21" max="22" width="6.375" bestFit="1" customWidth="1"/>
    <col min="23" max="24" width="11.875" bestFit="1" customWidth="1"/>
    <col min="25" max="126" width="6.375" bestFit="1" customWidth="1"/>
    <col min="127" max="170" width="7.375" bestFit="1" customWidth="1"/>
    <col min="171" max="171" width="11.375" bestFit="1" customWidth="1"/>
    <col min="172" max="207" width="7.375" bestFit="1" customWidth="1"/>
    <col min="208" max="208" width="8.875" bestFit="1" customWidth="1"/>
    <col min="209" max="255" width="7.375" bestFit="1" customWidth="1"/>
    <col min="256" max="256" width="9.375" bestFit="1" customWidth="1"/>
    <col min="257" max="309" width="7.375" bestFit="1" customWidth="1"/>
    <col min="310" max="310" width="9.125" bestFit="1" customWidth="1"/>
    <col min="311" max="312" width="11.375" bestFit="1" customWidth="1"/>
    <col min="313" max="314" width="6.375" bestFit="1" customWidth="1"/>
    <col min="315" max="315" width="11.375" bestFit="1" customWidth="1"/>
    <col min="316" max="317" width="6.375" bestFit="1" customWidth="1"/>
    <col min="318" max="318" width="11.375" bestFit="1" customWidth="1"/>
    <col min="319" max="321" width="6.375" bestFit="1" customWidth="1"/>
    <col min="322" max="322" width="11.375" bestFit="1" customWidth="1"/>
    <col min="323" max="324" width="6.375" bestFit="1" customWidth="1"/>
    <col min="325" max="325" width="11.375" bestFit="1" customWidth="1"/>
    <col min="326" max="327" width="6.375" bestFit="1" customWidth="1"/>
    <col min="328" max="328" width="11.375" bestFit="1" customWidth="1"/>
    <col min="329" max="331" width="6.375" bestFit="1" customWidth="1"/>
    <col min="332" max="332" width="11.375" bestFit="1" customWidth="1"/>
    <col min="333" max="333" width="8.125" bestFit="1" customWidth="1"/>
    <col min="334" max="334" width="11.375" bestFit="1" customWidth="1"/>
    <col min="335" max="336" width="6.375" bestFit="1" customWidth="1"/>
    <col min="337" max="337" width="11.375" bestFit="1" customWidth="1"/>
    <col min="338" max="340" width="6.375" bestFit="1" customWidth="1"/>
    <col min="341" max="341" width="11.375" bestFit="1" customWidth="1"/>
    <col min="342" max="343" width="7.375" bestFit="1" customWidth="1"/>
    <col min="344" max="344" width="12.375" bestFit="1" customWidth="1"/>
    <col min="345" max="345" width="9.125" bestFit="1" customWidth="1"/>
    <col min="346" max="346" width="12.375" bestFit="1" customWidth="1"/>
    <col min="347" max="347" width="9.125" bestFit="1" customWidth="1"/>
    <col min="348" max="348" width="12.375" bestFit="1" customWidth="1"/>
    <col min="349" max="351" width="7.375" bestFit="1" customWidth="1"/>
    <col min="352" max="352" width="12.375" bestFit="1" customWidth="1"/>
    <col min="353" max="353" width="9.125" bestFit="1" customWidth="1"/>
    <col min="354" max="354" width="12.375" bestFit="1" customWidth="1"/>
    <col min="355" max="357" width="7.375" bestFit="1" customWidth="1"/>
    <col min="358" max="358" width="12.375" bestFit="1" customWidth="1"/>
    <col min="359" max="359" width="9.125" bestFit="1" customWidth="1"/>
    <col min="360" max="360" width="12.375" bestFit="1" customWidth="1"/>
    <col min="361" max="362" width="7.375" bestFit="1" customWidth="1"/>
    <col min="363" max="363" width="12.375" bestFit="1" customWidth="1"/>
    <col min="364" max="364" width="9.125" bestFit="1" customWidth="1"/>
    <col min="365" max="365" width="12.375" bestFit="1" customWidth="1"/>
    <col min="366" max="367" width="7.375" bestFit="1" customWidth="1"/>
    <col min="368" max="368" width="12.375" bestFit="1" customWidth="1"/>
    <col min="369" max="372" width="7.375" bestFit="1" customWidth="1"/>
    <col min="373" max="373" width="12.375" bestFit="1" customWidth="1"/>
    <col min="374" max="374" width="9.125" bestFit="1" customWidth="1"/>
    <col min="375" max="375" width="12.375" bestFit="1" customWidth="1"/>
    <col min="376" max="376" width="9.125" bestFit="1" customWidth="1"/>
    <col min="377" max="377" width="12.375" bestFit="1" customWidth="1"/>
    <col min="378" max="378" width="9.125" bestFit="1" customWidth="1"/>
    <col min="379" max="379" width="12.375" bestFit="1" customWidth="1"/>
    <col min="380" max="380" width="9.125" bestFit="1" customWidth="1"/>
    <col min="381" max="381" width="12.375" bestFit="1" customWidth="1"/>
    <col min="382" max="384" width="7.375" bestFit="1" customWidth="1"/>
    <col min="385" max="385" width="12.375" bestFit="1" customWidth="1"/>
    <col min="386" max="388" width="7.375" bestFit="1" customWidth="1"/>
    <col min="389" max="389" width="12.375" bestFit="1" customWidth="1"/>
    <col min="390" max="390" width="9.125" bestFit="1" customWidth="1"/>
    <col min="391" max="391" width="12.375" bestFit="1" customWidth="1"/>
    <col min="392" max="394" width="7.375" bestFit="1" customWidth="1"/>
    <col min="395" max="395" width="12.375" bestFit="1" customWidth="1"/>
    <col min="396" max="398" width="7.375" bestFit="1" customWidth="1"/>
    <col min="399" max="399" width="12.375" bestFit="1" customWidth="1"/>
    <col min="400" max="402" width="7.375" bestFit="1" customWidth="1"/>
    <col min="403" max="403" width="12.375" bestFit="1" customWidth="1"/>
    <col min="404" max="404" width="9.125" bestFit="1" customWidth="1"/>
    <col min="405" max="405" width="12.375" bestFit="1" customWidth="1"/>
    <col min="406" max="408" width="7.375" bestFit="1" customWidth="1"/>
    <col min="409" max="409" width="12.375" bestFit="1" customWidth="1"/>
    <col min="410" max="412" width="7.375" bestFit="1" customWidth="1"/>
    <col min="413" max="413" width="12.375" bestFit="1" customWidth="1"/>
    <col min="414" max="414" width="9.125" bestFit="1" customWidth="1"/>
    <col min="415" max="415" width="12.375" bestFit="1" customWidth="1"/>
    <col min="416" max="416" width="9.125" bestFit="1" customWidth="1"/>
    <col min="417" max="417" width="12.375" bestFit="1" customWidth="1"/>
    <col min="418" max="419" width="7.375" bestFit="1" customWidth="1"/>
    <col min="420" max="420" width="12.375" bestFit="1" customWidth="1"/>
    <col min="421" max="421" width="9.125" bestFit="1" customWidth="1"/>
    <col min="422" max="422" width="12.375" bestFit="1" customWidth="1"/>
    <col min="423" max="424" width="7.375" bestFit="1" customWidth="1"/>
    <col min="425" max="425" width="12.375" bestFit="1" customWidth="1"/>
    <col min="426" max="427" width="7.375" bestFit="1" customWidth="1"/>
    <col min="428" max="428" width="12.375" bestFit="1" customWidth="1"/>
    <col min="429" max="430" width="7.375" bestFit="1" customWidth="1"/>
    <col min="431" max="431" width="12.375" bestFit="1" customWidth="1"/>
    <col min="432" max="433" width="7.375" bestFit="1" customWidth="1"/>
    <col min="434" max="434" width="12.375" bestFit="1" customWidth="1"/>
    <col min="435" max="437" width="7.375" bestFit="1" customWidth="1"/>
    <col min="438" max="438" width="12.375" bestFit="1" customWidth="1"/>
    <col min="439" max="439" width="9.125" bestFit="1" customWidth="1"/>
    <col min="440" max="440" width="12.375" bestFit="1" customWidth="1"/>
    <col min="441" max="442" width="7.375" bestFit="1" customWidth="1"/>
    <col min="443" max="443" width="12.375" bestFit="1" customWidth="1"/>
    <col min="444" max="445" width="7.375" bestFit="1" customWidth="1"/>
    <col min="446" max="446" width="12.375" bestFit="1" customWidth="1"/>
    <col min="447" max="448" width="7.375" bestFit="1" customWidth="1"/>
    <col min="449" max="449" width="12.375" bestFit="1" customWidth="1"/>
    <col min="450" max="451" width="7.375" bestFit="1" customWidth="1"/>
    <col min="452" max="452" width="12.375" bestFit="1" customWidth="1"/>
    <col min="453" max="453" width="9.125" bestFit="1" customWidth="1"/>
    <col min="454" max="454" width="12.375" bestFit="1" customWidth="1"/>
    <col min="455" max="456" width="7.375" bestFit="1" customWidth="1"/>
    <col min="457" max="457" width="12.375" bestFit="1" customWidth="1"/>
    <col min="458" max="458" width="9.125" bestFit="1" customWidth="1"/>
    <col min="459" max="459" width="12.375" bestFit="1" customWidth="1"/>
    <col min="460" max="461" width="7.375" bestFit="1" customWidth="1"/>
    <col min="462" max="462" width="12.375" bestFit="1" customWidth="1"/>
    <col min="463" max="464" width="7.375" bestFit="1" customWidth="1"/>
    <col min="465" max="465" width="12.375" bestFit="1" customWidth="1"/>
    <col min="466" max="468" width="7.375" bestFit="1" customWidth="1"/>
    <col min="469" max="469" width="12.375" bestFit="1" customWidth="1"/>
    <col min="470" max="470" width="11.375" bestFit="1" customWidth="1"/>
  </cols>
  <sheetData>
    <row r="1" spans="1:11">
      <c r="A1" t="s">
        <v>826</v>
      </c>
      <c r="D1" t="s">
        <v>829</v>
      </c>
    </row>
    <row r="2" spans="1:11">
      <c r="A2" s="3">
        <f>SUM(Sales!G:G)</f>
        <v>249314.65000000014</v>
      </c>
      <c r="B2" s="3"/>
      <c r="D2" s="10" t="s">
        <v>831</v>
      </c>
      <c r="E2" t="s">
        <v>838</v>
      </c>
      <c r="G2" t="s">
        <v>839</v>
      </c>
      <c r="I2" t="s">
        <v>840</v>
      </c>
    </row>
    <row r="3" spans="1:11">
      <c r="D3" s="11" t="s">
        <v>832</v>
      </c>
      <c r="E3" s="12">
        <v>38121.719999999994</v>
      </c>
      <c r="F3" t="s">
        <v>832</v>
      </c>
      <c r="I3">
        <f>E14/A13</f>
        <v>0.82499999999999996</v>
      </c>
    </row>
    <row r="4" spans="1:11">
      <c r="A4" t="s">
        <v>827</v>
      </c>
      <c r="D4" s="11" t="s">
        <v>833</v>
      </c>
      <c r="E4" s="12">
        <v>36272.57</v>
      </c>
      <c r="F4" t="s">
        <v>833</v>
      </c>
      <c r="G4" s="16">
        <f>(GETPIVOTDATA("SalesAmount",$D$2,"Order Month","Feb") -GETPIVOTDATA("SalesAmount",$D$2,"Order Month","Jan")) /GETPIVOTDATA("SalesAmount",$D$2,"Order Month","Jan")</f>
        <v>-4.8506468228610738E-2</v>
      </c>
    </row>
    <row r="5" spans="1:11">
      <c r="A5">
        <f>COUNTA(Sales!A:A)-1</f>
        <v>360</v>
      </c>
      <c r="D5" s="11" t="s">
        <v>834</v>
      </c>
      <c r="E5" s="12">
        <v>52091.569999999963</v>
      </c>
      <c r="F5" t="s">
        <v>834</v>
      </c>
      <c r="G5" s="16">
        <f>(GETPIVOTDATA("SalesAmount",$D$2,"Order Month","Mar") -GETPIVOTDATA("SalesAmount",$D$2,"Order Month","Feb"))/GETPIVOTDATA("SalesAmount",$D$2,"Order Month","Feb")</f>
        <v>0.43611467287815459</v>
      </c>
      <c r="I5" t="s">
        <v>850</v>
      </c>
    </row>
    <row r="6" spans="1:11">
      <c r="D6" s="11" t="s">
        <v>835</v>
      </c>
      <c r="E6" s="12">
        <v>37290.869999999995</v>
      </c>
      <c r="F6" t="s">
        <v>835</v>
      </c>
      <c r="G6" s="16">
        <f>(GETPIVOTDATA("SalesAmount",$D$2,"Order Month","Apr")-GETPIVOTDATA("SalesAmount",$D$2,"Order Month","Mar"))/GETPIVOTDATA("SalesAmount",$D$2,"Order Month","Mar")</f>
        <v>-0.28412850678142315</v>
      </c>
    </row>
    <row r="7" spans="1:11">
      <c r="A7" t="s">
        <v>828</v>
      </c>
      <c r="D7" s="11" t="s">
        <v>836</v>
      </c>
      <c r="E7" s="12">
        <v>33711.56</v>
      </c>
      <c r="F7" t="s">
        <v>836</v>
      </c>
      <c r="G7" s="16">
        <f>(GETPIVOTDATA("SalesAmount",$D$2,"Order Month","May")-GETPIVOTDATA("SalesAmount",$D$2,"Order Month","Apr"))/GETPIVOTDATA("SalesAmount",$D$2,"Order Month","Apr")</f>
        <v>-9.5983547715566789E-2</v>
      </c>
    </row>
    <row r="8" spans="1:11">
      <c r="A8">
        <f>A2/A5</f>
        <v>692.54069444444485</v>
      </c>
      <c r="D8" s="11" t="s">
        <v>837</v>
      </c>
      <c r="E8" s="12">
        <v>51826.359999999993</v>
      </c>
      <c r="F8" t="s">
        <v>837</v>
      </c>
      <c r="G8" s="16">
        <f>(GETPIVOTDATA("SalesAmount",$D$2,"Order Month","Jun")-GETPIVOTDATA("SalesAmount",$D$2,"Order Month","May"))/GETPIVOTDATA("SalesAmount",$D$2,"Order Month","May")</f>
        <v>0.53734683295581687</v>
      </c>
    </row>
    <row r="9" spans="1:11">
      <c r="D9" s="11" t="s">
        <v>830</v>
      </c>
      <c r="E9" s="12">
        <v>249314.64999999994</v>
      </c>
    </row>
    <row r="12" spans="1:11">
      <c r="A12" t="s">
        <v>841</v>
      </c>
      <c r="C12" t="s">
        <v>843</v>
      </c>
    </row>
    <row r="13" spans="1:11">
      <c r="A13">
        <f>COUNTA(Customer_info!A:A)-1</f>
        <v>120</v>
      </c>
      <c r="C13" s="10" t="s">
        <v>831</v>
      </c>
      <c r="D13" t="s">
        <v>842</v>
      </c>
      <c r="E13" t="s">
        <v>844</v>
      </c>
      <c r="G13" t="s">
        <v>845</v>
      </c>
      <c r="J13" t="s">
        <v>847</v>
      </c>
    </row>
    <row r="14" spans="1:11">
      <c r="C14" s="11" t="s">
        <v>73</v>
      </c>
      <c r="D14" s="12">
        <v>6</v>
      </c>
      <c r="E14">
        <v>99</v>
      </c>
      <c r="G14" s="10" t="s">
        <v>831</v>
      </c>
      <c r="H14" t="s">
        <v>838</v>
      </c>
      <c r="J14" s="10" t="s">
        <v>831</v>
      </c>
      <c r="K14" t="s">
        <v>838</v>
      </c>
    </row>
    <row r="15" spans="1:11">
      <c r="C15" s="11" t="s">
        <v>88</v>
      </c>
      <c r="D15" s="12">
        <v>6</v>
      </c>
      <c r="G15" s="11" t="s">
        <v>534</v>
      </c>
      <c r="H15" s="12">
        <v>49960.629999999976</v>
      </c>
      <c r="J15" s="11" t="s">
        <v>597</v>
      </c>
      <c r="K15" s="12">
        <v>57774.679999999978</v>
      </c>
    </row>
    <row r="16" spans="1:11">
      <c r="C16" s="11" t="s">
        <v>169</v>
      </c>
      <c r="D16" s="12">
        <v>3</v>
      </c>
      <c r="G16" s="11" t="s">
        <v>529</v>
      </c>
      <c r="H16" s="12">
        <v>37792.22</v>
      </c>
      <c r="J16" s="11" t="s">
        <v>574</v>
      </c>
      <c r="K16" s="12">
        <v>51405.479999999996</v>
      </c>
    </row>
    <row r="17" spans="3:12">
      <c r="C17" s="11" t="s">
        <v>134</v>
      </c>
      <c r="D17" s="12">
        <v>8</v>
      </c>
      <c r="G17" s="11" t="s">
        <v>524</v>
      </c>
      <c r="H17" s="12">
        <v>74267.189999999973</v>
      </c>
      <c r="J17" s="11" t="s">
        <v>577</v>
      </c>
      <c r="K17" s="12">
        <v>45344.269999999975</v>
      </c>
    </row>
    <row r="18" spans="3:12">
      <c r="C18" s="11" t="s">
        <v>29</v>
      </c>
      <c r="D18" s="12">
        <v>6</v>
      </c>
      <c r="G18" s="11" t="s">
        <v>527</v>
      </c>
      <c r="H18" s="12">
        <v>42451.150000000009</v>
      </c>
      <c r="J18" s="11" t="s">
        <v>580</v>
      </c>
      <c r="K18" s="12">
        <v>41535.319999999985</v>
      </c>
    </row>
    <row r="19" spans="3:12">
      <c r="C19" s="11" t="s">
        <v>244</v>
      </c>
      <c r="D19" s="12">
        <v>4</v>
      </c>
      <c r="G19" s="11" t="s">
        <v>531</v>
      </c>
      <c r="H19" s="12">
        <v>44843.459999999977</v>
      </c>
      <c r="J19" s="11" t="s">
        <v>590</v>
      </c>
      <c r="K19" s="12">
        <v>22096.230000000003</v>
      </c>
    </row>
    <row r="20" spans="3:12">
      <c r="C20" s="11" t="s">
        <v>228</v>
      </c>
      <c r="D20" s="12">
        <v>2</v>
      </c>
      <c r="G20" s="11" t="s">
        <v>830</v>
      </c>
      <c r="H20" s="12">
        <v>249314.64999999991</v>
      </c>
      <c r="J20" s="11" t="s">
        <v>610</v>
      </c>
      <c r="K20" s="12">
        <v>31158.670000000009</v>
      </c>
    </row>
    <row r="21" spans="3:12">
      <c r="C21" s="11" t="s">
        <v>205</v>
      </c>
      <c r="D21" s="12">
        <v>2</v>
      </c>
      <c r="J21" s="11" t="s">
        <v>830</v>
      </c>
      <c r="K21" s="12">
        <v>249314.64999999994</v>
      </c>
    </row>
    <row r="22" spans="3:12">
      <c r="C22" s="11" t="s">
        <v>149</v>
      </c>
      <c r="D22" s="12">
        <v>3</v>
      </c>
    </row>
    <row r="23" spans="3:12">
      <c r="C23" s="11" t="s">
        <v>96</v>
      </c>
      <c r="D23" s="12">
        <v>5</v>
      </c>
    </row>
    <row r="24" spans="3:12">
      <c r="C24" s="11" t="s">
        <v>240</v>
      </c>
      <c r="D24" s="12">
        <v>4</v>
      </c>
      <c r="G24" s="10" t="s">
        <v>865</v>
      </c>
      <c r="H24" t="s">
        <v>851</v>
      </c>
    </row>
    <row r="25" spans="3:12">
      <c r="C25" s="11" t="s">
        <v>294</v>
      </c>
      <c r="D25" s="12">
        <v>4</v>
      </c>
      <c r="G25" s="11" t="s">
        <v>852</v>
      </c>
      <c r="H25" s="12">
        <v>45</v>
      </c>
    </row>
    <row r="26" spans="3:12">
      <c r="C26" s="11" t="s">
        <v>441</v>
      </c>
      <c r="D26" s="12">
        <v>3</v>
      </c>
      <c r="G26" s="11" t="s">
        <v>853</v>
      </c>
      <c r="H26" s="12">
        <v>48</v>
      </c>
      <c r="J26" s="10" t="s">
        <v>831</v>
      </c>
      <c r="K26" t="s">
        <v>838</v>
      </c>
      <c r="L26" t="s">
        <v>842</v>
      </c>
    </row>
    <row r="27" spans="3:12">
      <c r="C27" s="11" t="s">
        <v>18</v>
      </c>
      <c r="D27" s="12">
        <v>3</v>
      </c>
      <c r="G27" s="11" t="s">
        <v>854</v>
      </c>
      <c r="H27" s="12">
        <v>25</v>
      </c>
      <c r="J27" s="11" t="s">
        <v>134</v>
      </c>
      <c r="K27" s="12">
        <v>8064.34</v>
      </c>
      <c r="L27" s="12">
        <v>8</v>
      </c>
    </row>
    <row r="28" spans="3:12">
      <c r="C28" s="11" t="s">
        <v>268</v>
      </c>
      <c r="D28" s="12">
        <v>2</v>
      </c>
      <c r="G28" s="11" t="s">
        <v>855</v>
      </c>
      <c r="H28" s="12">
        <v>21</v>
      </c>
      <c r="J28" s="11" t="s">
        <v>15</v>
      </c>
      <c r="K28" s="12">
        <v>6805.4700000000012</v>
      </c>
      <c r="L28" s="12">
        <v>5</v>
      </c>
    </row>
    <row r="29" spans="3:12">
      <c r="C29" s="11" t="s">
        <v>31</v>
      </c>
      <c r="D29" s="12">
        <v>2</v>
      </c>
      <c r="G29" s="11" t="s">
        <v>856</v>
      </c>
      <c r="H29" s="12">
        <v>29</v>
      </c>
      <c r="J29" s="11" t="s">
        <v>6</v>
      </c>
      <c r="K29" s="12">
        <v>6150.9500000000007</v>
      </c>
      <c r="L29" s="12">
        <v>4</v>
      </c>
    </row>
    <row r="30" spans="3:12">
      <c r="C30" s="11" t="s">
        <v>322</v>
      </c>
      <c r="D30" s="12">
        <v>4</v>
      </c>
      <c r="G30" s="11" t="s">
        <v>857</v>
      </c>
      <c r="H30" s="12">
        <v>49</v>
      </c>
      <c r="J30" s="11" t="s">
        <v>12</v>
      </c>
      <c r="K30" s="12">
        <v>5991.77</v>
      </c>
      <c r="L30" s="12">
        <v>6</v>
      </c>
    </row>
    <row r="31" spans="3:12">
      <c r="C31" s="11" t="s">
        <v>309</v>
      </c>
      <c r="D31" s="12">
        <v>5</v>
      </c>
      <c r="G31" s="11" t="s">
        <v>858</v>
      </c>
      <c r="H31" s="12">
        <v>23</v>
      </c>
      <c r="J31" s="11" t="s">
        <v>56</v>
      </c>
      <c r="K31" s="12">
        <v>5603.2400000000007</v>
      </c>
      <c r="L31" s="12">
        <v>7</v>
      </c>
    </row>
    <row r="32" spans="3:12">
      <c r="C32" s="11" t="s">
        <v>345</v>
      </c>
      <c r="D32" s="12">
        <v>2</v>
      </c>
      <c r="G32" s="11" t="s">
        <v>859</v>
      </c>
      <c r="H32" s="12">
        <v>32</v>
      </c>
      <c r="J32" s="11" t="s">
        <v>138</v>
      </c>
      <c r="K32" s="12">
        <v>5286.42</v>
      </c>
      <c r="L32" s="12">
        <v>6</v>
      </c>
    </row>
    <row r="33" spans="3:26">
      <c r="C33" s="11" t="s">
        <v>39</v>
      </c>
      <c r="D33" s="12">
        <v>3</v>
      </c>
      <c r="G33" s="11" t="s">
        <v>860</v>
      </c>
      <c r="H33" s="12">
        <v>22</v>
      </c>
      <c r="J33" s="11" t="s">
        <v>201</v>
      </c>
      <c r="K33" s="12">
        <v>5217.2999999999993</v>
      </c>
      <c r="L33" s="12">
        <v>5</v>
      </c>
    </row>
    <row r="34" spans="3:26">
      <c r="C34" s="11" t="s">
        <v>248</v>
      </c>
      <c r="D34" s="12">
        <v>2</v>
      </c>
      <c r="G34" s="11" t="s">
        <v>861</v>
      </c>
      <c r="H34" s="12">
        <v>28</v>
      </c>
      <c r="J34" s="11" t="s">
        <v>110</v>
      </c>
      <c r="K34" s="12">
        <v>5179.4499999999989</v>
      </c>
      <c r="L34" s="12">
        <v>10</v>
      </c>
    </row>
    <row r="35" spans="3:26">
      <c r="C35" s="11" t="s">
        <v>69</v>
      </c>
      <c r="D35" s="12">
        <v>2</v>
      </c>
      <c r="G35" s="11" t="s">
        <v>862</v>
      </c>
      <c r="H35" s="12">
        <v>21</v>
      </c>
      <c r="J35" s="11" t="s">
        <v>125</v>
      </c>
      <c r="K35" s="12">
        <v>4854.1000000000004</v>
      </c>
      <c r="L35" s="12">
        <v>3</v>
      </c>
    </row>
    <row r="36" spans="3:26">
      <c r="C36" s="11" t="s">
        <v>242</v>
      </c>
      <c r="D36" s="12">
        <v>4</v>
      </c>
      <c r="G36" s="11" t="s">
        <v>863</v>
      </c>
      <c r="H36" s="12">
        <v>14</v>
      </c>
      <c r="J36" s="11" t="s">
        <v>263</v>
      </c>
      <c r="K36" s="12">
        <v>4606.6399999999994</v>
      </c>
      <c r="L36" s="12">
        <v>6</v>
      </c>
    </row>
    <row r="37" spans="3:26">
      <c r="C37" s="11" t="s">
        <v>138</v>
      </c>
      <c r="D37" s="12">
        <v>6</v>
      </c>
      <c r="G37" s="11" t="s">
        <v>864</v>
      </c>
      <c r="H37" s="12">
        <v>3</v>
      </c>
      <c r="J37" s="11" t="s">
        <v>240</v>
      </c>
      <c r="K37" s="12">
        <v>4221.4800000000005</v>
      </c>
      <c r="L37" s="12">
        <v>4</v>
      </c>
    </row>
    <row r="38" spans="3:26">
      <c r="C38" s="11" t="s">
        <v>86</v>
      </c>
      <c r="D38" s="12">
        <v>3</v>
      </c>
      <c r="G38" s="11" t="s">
        <v>830</v>
      </c>
      <c r="H38" s="12">
        <v>360</v>
      </c>
      <c r="J38" s="11" t="s">
        <v>18</v>
      </c>
      <c r="K38" s="12">
        <v>4025.22</v>
      </c>
      <c r="L38" s="12">
        <v>3</v>
      </c>
      <c r="P38" t="s">
        <v>866</v>
      </c>
    </row>
    <row r="39" spans="3:26">
      <c r="C39" s="11" t="s">
        <v>194</v>
      </c>
      <c r="D39" s="12">
        <v>2</v>
      </c>
      <c r="J39" s="11" t="s">
        <v>187</v>
      </c>
      <c r="K39" s="12">
        <v>3990.5899999999997</v>
      </c>
      <c r="L39" s="12">
        <v>4</v>
      </c>
      <c r="P39" s="10" t="s">
        <v>831</v>
      </c>
      <c r="Q39" s="2" t="s">
        <v>867</v>
      </c>
      <c r="R39" s="2" t="s">
        <v>868</v>
      </c>
      <c r="S39" t="s">
        <v>842</v>
      </c>
      <c r="T39" t="s">
        <v>866</v>
      </c>
      <c r="W39" t="s">
        <v>869</v>
      </c>
      <c r="X39" t="s">
        <v>870</v>
      </c>
    </row>
    <row r="40" spans="3:26">
      <c r="C40" s="11" t="s">
        <v>77</v>
      </c>
      <c r="D40" s="12">
        <v>2</v>
      </c>
      <c r="J40" s="11" t="s">
        <v>94</v>
      </c>
      <c r="K40" s="12">
        <v>3885.64</v>
      </c>
      <c r="L40" s="12">
        <v>3</v>
      </c>
      <c r="P40" s="11" t="s">
        <v>73</v>
      </c>
      <c r="Q40" s="2">
        <v>45472</v>
      </c>
      <c r="R40" s="2">
        <v>45305</v>
      </c>
      <c r="S40" s="12">
        <v>6</v>
      </c>
      <c r="T40">
        <f>Q39:Q154-R39:R154</f>
        <v>167</v>
      </c>
      <c r="U40">
        <f>AVERAGE(T40:T154)</f>
        <v>75.8</v>
      </c>
      <c r="W40">
        <f>IF(T40&lt;&gt;0,GETPIVOTDATA("Count of OrderID",$P$39,"CustomerID","CUST001")/T40,0)</f>
        <v>3.5928143712574849E-2</v>
      </c>
      <c r="X40">
        <f>A8 * W40 *T40</f>
        <v>4155.2441666666691</v>
      </c>
      <c r="Z40" s="20">
        <f>AVERAGE(W40:W154)</f>
        <v>0.12021057607778625</v>
      </c>
    </row>
    <row r="41" spans="3:26">
      <c r="C41" s="11" t="s">
        <v>175</v>
      </c>
      <c r="D41" s="12">
        <v>4</v>
      </c>
      <c r="J41" s="11" t="s">
        <v>197</v>
      </c>
      <c r="K41" s="12">
        <v>3854.0899999999997</v>
      </c>
      <c r="L41" s="12">
        <v>6</v>
      </c>
      <c r="P41" s="11" t="s">
        <v>88</v>
      </c>
      <c r="Q41" s="2">
        <v>45444</v>
      </c>
      <c r="R41" s="2">
        <v>45298</v>
      </c>
      <c r="S41" s="12">
        <v>6</v>
      </c>
      <c r="T41">
        <f t="shared" ref="T41:T104" si="0">Q40:Q155-R40:R155</f>
        <v>146</v>
      </c>
      <c r="W41">
        <f t="shared" ref="W41:W104" si="1">IF(T41&lt;&gt;0,GETPIVOTDATA("Count of OrderID",$P$39,"CustomerID","CUST001")/T41,0)</f>
        <v>4.1095890410958902E-2</v>
      </c>
      <c r="X41">
        <f t="shared" ref="X41:X48" si="2">A9 * W41 *T41</f>
        <v>0</v>
      </c>
    </row>
    <row r="42" spans="3:26">
      <c r="C42" s="11" t="s">
        <v>210</v>
      </c>
      <c r="D42" s="12">
        <v>2</v>
      </c>
      <c r="J42" s="11" t="s">
        <v>322</v>
      </c>
      <c r="K42" s="12">
        <v>3808.51</v>
      </c>
      <c r="L42" s="12">
        <v>4</v>
      </c>
      <c r="P42" s="11" t="s">
        <v>169</v>
      </c>
      <c r="Q42" s="2">
        <v>45404</v>
      </c>
      <c r="R42" s="2">
        <v>45330</v>
      </c>
      <c r="S42" s="12">
        <v>3</v>
      </c>
      <c r="T42">
        <f t="shared" si="0"/>
        <v>74</v>
      </c>
      <c r="W42">
        <f t="shared" si="1"/>
        <v>8.1081081081081086E-2</v>
      </c>
      <c r="X42">
        <f t="shared" si="2"/>
        <v>0</v>
      </c>
    </row>
    <row r="43" spans="3:26">
      <c r="C43" s="11" t="s">
        <v>21</v>
      </c>
      <c r="D43" s="12">
        <v>3</v>
      </c>
      <c r="J43" s="11" t="s">
        <v>184</v>
      </c>
      <c r="K43" s="12">
        <v>3717.79</v>
      </c>
      <c r="L43" s="12">
        <v>4</v>
      </c>
      <c r="P43" s="11" t="s">
        <v>409</v>
      </c>
      <c r="Q43" s="2">
        <v>45415</v>
      </c>
      <c r="R43" s="2">
        <v>45415</v>
      </c>
      <c r="S43" s="12">
        <v>1</v>
      </c>
      <c r="T43">
        <f t="shared" si="0"/>
        <v>0</v>
      </c>
      <c r="W43">
        <f t="shared" si="1"/>
        <v>0</v>
      </c>
      <c r="X43">
        <f t="shared" si="2"/>
        <v>0</v>
      </c>
    </row>
    <row r="44" spans="3:26">
      <c r="C44" s="11" t="s">
        <v>376</v>
      </c>
      <c r="D44" s="12">
        <v>2</v>
      </c>
      <c r="J44" s="11" t="s">
        <v>112</v>
      </c>
      <c r="K44" s="12">
        <v>3636.3999999999996</v>
      </c>
      <c r="L44" s="12">
        <v>5</v>
      </c>
      <c r="P44" s="11" t="s">
        <v>134</v>
      </c>
      <c r="Q44" s="2">
        <v>45440</v>
      </c>
      <c r="R44" s="2">
        <v>45321</v>
      </c>
      <c r="S44" s="12">
        <v>8</v>
      </c>
      <c r="T44">
        <f t="shared" si="0"/>
        <v>119</v>
      </c>
      <c r="W44">
        <f t="shared" si="1"/>
        <v>5.0420168067226892E-2</v>
      </c>
      <c r="X44" t="e">
        <f>A12 * W44*T44</f>
        <v>#VALUE!</v>
      </c>
    </row>
    <row r="45" spans="3:26">
      <c r="C45" s="11" t="s">
        <v>33</v>
      </c>
      <c r="D45" s="12">
        <v>3</v>
      </c>
      <c r="J45" s="11" t="s">
        <v>221</v>
      </c>
      <c r="K45" s="12">
        <v>3612.2</v>
      </c>
      <c r="L45" s="12">
        <v>3</v>
      </c>
      <c r="P45" s="11" t="s">
        <v>29</v>
      </c>
      <c r="Q45" s="2">
        <v>45472</v>
      </c>
      <c r="R45" s="2">
        <v>45398</v>
      </c>
      <c r="S45" s="12">
        <v>6</v>
      </c>
      <c r="T45">
        <f t="shared" si="0"/>
        <v>74</v>
      </c>
      <c r="W45">
        <f t="shared" si="1"/>
        <v>8.1081081081081086E-2</v>
      </c>
      <c r="X45">
        <f t="shared" si="2"/>
        <v>720</v>
      </c>
    </row>
    <row r="46" spans="3:26">
      <c r="C46" s="11" t="s">
        <v>125</v>
      </c>
      <c r="D46" s="12">
        <v>3</v>
      </c>
      <c r="J46" s="11" t="s">
        <v>301</v>
      </c>
      <c r="K46" s="12">
        <v>3546.02</v>
      </c>
      <c r="L46" s="12">
        <v>3</v>
      </c>
      <c r="P46" s="11" t="s">
        <v>244</v>
      </c>
      <c r="Q46" s="2">
        <v>45468</v>
      </c>
      <c r="R46" s="2">
        <v>45410</v>
      </c>
      <c r="S46" s="12">
        <v>4</v>
      </c>
      <c r="T46">
        <f t="shared" si="0"/>
        <v>58</v>
      </c>
      <c r="W46">
        <f t="shared" si="1"/>
        <v>0.10344827586206896</v>
      </c>
      <c r="X46">
        <f t="shared" si="2"/>
        <v>0</v>
      </c>
    </row>
    <row r="47" spans="3:26">
      <c r="C47" s="11" t="s">
        <v>45</v>
      </c>
      <c r="D47" s="12">
        <v>5</v>
      </c>
      <c r="J47" s="11" t="s">
        <v>242</v>
      </c>
      <c r="K47" s="12">
        <v>3351.2</v>
      </c>
      <c r="L47" s="12">
        <v>4</v>
      </c>
      <c r="P47" s="11" t="s">
        <v>228</v>
      </c>
      <c r="Q47" s="2">
        <v>45365</v>
      </c>
      <c r="R47" s="2">
        <v>45310</v>
      </c>
      <c r="S47" s="12">
        <v>2</v>
      </c>
      <c r="T47">
        <f t="shared" si="0"/>
        <v>55</v>
      </c>
      <c r="W47">
        <f t="shared" si="1"/>
        <v>0.10909090909090909</v>
      </c>
      <c r="X47">
        <f t="shared" si="2"/>
        <v>0</v>
      </c>
    </row>
    <row r="48" spans="3:26">
      <c r="C48" s="11" t="s">
        <v>257</v>
      </c>
      <c r="D48" s="12">
        <v>3</v>
      </c>
      <c r="J48" s="11" t="s">
        <v>47</v>
      </c>
      <c r="K48" s="12">
        <v>3331.1800000000003</v>
      </c>
      <c r="L48" s="12">
        <v>4</v>
      </c>
      <c r="P48" s="11" t="s">
        <v>205</v>
      </c>
      <c r="Q48" s="2">
        <v>45369</v>
      </c>
      <c r="R48" s="2">
        <v>45363</v>
      </c>
      <c r="S48" s="12">
        <v>2</v>
      </c>
      <c r="T48">
        <f t="shared" si="0"/>
        <v>6</v>
      </c>
      <c r="W48">
        <f t="shared" si="1"/>
        <v>1</v>
      </c>
      <c r="X48">
        <f t="shared" si="2"/>
        <v>0</v>
      </c>
    </row>
    <row r="49" spans="3:24">
      <c r="C49" s="11" t="s">
        <v>213</v>
      </c>
      <c r="D49" s="12">
        <v>4</v>
      </c>
      <c r="J49" s="11" t="s">
        <v>45</v>
      </c>
      <c r="K49" s="12">
        <v>3307.05</v>
      </c>
      <c r="L49" s="12">
        <v>5</v>
      </c>
      <c r="P49" s="11" t="s">
        <v>279</v>
      </c>
      <c r="Q49" s="2">
        <v>45430</v>
      </c>
      <c r="R49" s="2">
        <v>45430</v>
      </c>
      <c r="S49" s="12">
        <v>1</v>
      </c>
      <c r="T49">
        <f t="shared" si="0"/>
        <v>0</v>
      </c>
      <c r="W49">
        <f t="shared" si="1"/>
        <v>0</v>
      </c>
      <c r="X49">
        <f t="shared" ref="X49:X68" si="3">A17 * W49 *T49</f>
        <v>0</v>
      </c>
    </row>
    <row r="50" spans="3:24">
      <c r="C50" s="11" t="s">
        <v>234</v>
      </c>
      <c r="D50" s="12">
        <v>4</v>
      </c>
      <c r="J50" s="11" t="s">
        <v>127</v>
      </c>
      <c r="K50" s="12">
        <v>3274.1000000000004</v>
      </c>
      <c r="L50" s="12">
        <v>4</v>
      </c>
      <c r="P50" s="11" t="s">
        <v>149</v>
      </c>
      <c r="Q50" s="2">
        <v>45452</v>
      </c>
      <c r="R50" s="2">
        <v>45381</v>
      </c>
      <c r="S50" s="12">
        <v>3</v>
      </c>
      <c r="T50">
        <f t="shared" si="0"/>
        <v>71</v>
      </c>
      <c r="W50">
        <f t="shared" si="1"/>
        <v>8.4507042253521125E-2</v>
      </c>
      <c r="X50">
        <f t="shared" si="3"/>
        <v>0</v>
      </c>
    </row>
    <row r="51" spans="3:24">
      <c r="C51" s="11" t="s">
        <v>201</v>
      </c>
      <c r="D51" s="12">
        <v>5</v>
      </c>
      <c r="J51" s="11" t="s">
        <v>244</v>
      </c>
      <c r="K51" s="12">
        <v>3204.0600000000004</v>
      </c>
      <c r="L51" s="12">
        <v>4</v>
      </c>
      <c r="P51" s="11" t="s">
        <v>466</v>
      </c>
      <c r="Q51" s="2">
        <v>45431</v>
      </c>
      <c r="R51" s="2">
        <v>45431</v>
      </c>
      <c r="S51" s="12">
        <v>1</v>
      </c>
      <c r="T51">
        <f t="shared" si="0"/>
        <v>0</v>
      </c>
      <c r="W51">
        <f t="shared" si="1"/>
        <v>0</v>
      </c>
      <c r="X51">
        <f t="shared" si="3"/>
        <v>0</v>
      </c>
    </row>
    <row r="52" spans="3:24">
      <c r="C52" s="11" t="s">
        <v>47</v>
      </c>
      <c r="D52" s="12">
        <v>4</v>
      </c>
      <c r="J52" s="11" t="s">
        <v>39</v>
      </c>
      <c r="K52" s="12">
        <v>3178.35</v>
      </c>
      <c r="L52" s="12">
        <v>3</v>
      </c>
      <c r="P52" s="11" t="s">
        <v>96</v>
      </c>
      <c r="Q52" s="2">
        <v>45411</v>
      </c>
      <c r="R52" s="2">
        <v>45333</v>
      </c>
      <c r="S52" s="12">
        <v>5</v>
      </c>
      <c r="T52">
        <f t="shared" si="0"/>
        <v>78</v>
      </c>
      <c r="W52">
        <f t="shared" si="1"/>
        <v>7.6923076923076927E-2</v>
      </c>
      <c r="X52">
        <f t="shared" si="3"/>
        <v>0</v>
      </c>
    </row>
    <row r="53" spans="3:24">
      <c r="C53" s="11" t="s">
        <v>112</v>
      </c>
      <c r="D53" s="12">
        <v>5</v>
      </c>
      <c r="J53" s="11" t="s">
        <v>345</v>
      </c>
      <c r="K53" s="12">
        <v>2998.61</v>
      </c>
      <c r="L53" s="12">
        <v>2</v>
      </c>
      <c r="P53" s="11" t="s">
        <v>240</v>
      </c>
      <c r="Q53" s="2">
        <v>45367</v>
      </c>
      <c r="R53" s="2">
        <v>45321</v>
      </c>
      <c r="S53" s="12">
        <v>4</v>
      </c>
      <c r="T53">
        <f t="shared" si="0"/>
        <v>46</v>
      </c>
      <c r="W53">
        <f t="shared" si="1"/>
        <v>0.13043478260869565</v>
      </c>
      <c r="X53">
        <f t="shared" si="3"/>
        <v>0</v>
      </c>
    </row>
    <row r="54" spans="3:24">
      <c r="C54" s="11" t="s">
        <v>311</v>
      </c>
      <c r="D54" s="12">
        <v>3</v>
      </c>
      <c r="J54" s="11" t="s">
        <v>96</v>
      </c>
      <c r="K54" s="12">
        <v>2989.9199999999996</v>
      </c>
      <c r="L54" s="12">
        <v>5</v>
      </c>
      <c r="P54" s="11" t="s">
        <v>294</v>
      </c>
      <c r="Q54" s="2">
        <v>45463</v>
      </c>
      <c r="R54" s="2">
        <v>45361</v>
      </c>
      <c r="S54" s="12">
        <v>4</v>
      </c>
      <c r="T54">
        <f t="shared" si="0"/>
        <v>102</v>
      </c>
      <c r="W54">
        <f t="shared" si="1"/>
        <v>5.8823529411764705E-2</v>
      </c>
      <c r="X54">
        <f t="shared" si="3"/>
        <v>0</v>
      </c>
    </row>
    <row r="55" spans="3:24">
      <c r="C55" s="11" t="s">
        <v>42</v>
      </c>
      <c r="D55" s="12">
        <v>2</v>
      </c>
      <c r="J55" s="11" t="s">
        <v>181</v>
      </c>
      <c r="K55" s="12">
        <v>2989.13</v>
      </c>
      <c r="L55" s="12">
        <v>5</v>
      </c>
      <c r="P55" s="11" t="s">
        <v>441</v>
      </c>
      <c r="Q55" s="2">
        <v>45461</v>
      </c>
      <c r="R55" s="2">
        <v>45410</v>
      </c>
      <c r="S55" s="12">
        <v>3</v>
      </c>
      <c r="T55">
        <f t="shared" si="0"/>
        <v>51</v>
      </c>
      <c r="W55">
        <f t="shared" si="1"/>
        <v>0.11764705882352941</v>
      </c>
      <c r="X55">
        <f t="shared" si="3"/>
        <v>0</v>
      </c>
    </row>
    <row r="56" spans="3:24">
      <c r="C56" s="11" t="s">
        <v>430</v>
      </c>
      <c r="D56" s="12">
        <v>2</v>
      </c>
      <c r="J56" s="11" t="s">
        <v>294</v>
      </c>
      <c r="K56" s="12">
        <v>2873.2</v>
      </c>
      <c r="L56" s="12">
        <v>4</v>
      </c>
      <c r="P56" s="11" t="s">
        <v>18</v>
      </c>
      <c r="Q56" s="2">
        <v>45446</v>
      </c>
      <c r="R56" s="2">
        <v>45372</v>
      </c>
      <c r="S56" s="12">
        <v>3</v>
      </c>
      <c r="T56">
        <f t="shared" si="0"/>
        <v>74</v>
      </c>
      <c r="W56">
        <f t="shared" si="1"/>
        <v>8.1081081081081086E-2</v>
      </c>
      <c r="X56">
        <f t="shared" si="3"/>
        <v>0</v>
      </c>
    </row>
    <row r="57" spans="3:24">
      <c r="C57" s="11" t="s">
        <v>438</v>
      </c>
      <c r="D57" s="12">
        <v>2</v>
      </c>
      <c r="J57" s="11" t="s">
        <v>36</v>
      </c>
      <c r="K57" s="12">
        <v>2777.8</v>
      </c>
      <c r="L57" s="12">
        <v>7</v>
      </c>
      <c r="P57" s="11" t="s">
        <v>282</v>
      </c>
      <c r="Q57" s="2">
        <v>45344</v>
      </c>
      <c r="R57" s="2">
        <v>45344</v>
      </c>
      <c r="S57" s="12">
        <v>1</v>
      </c>
      <c r="T57">
        <f t="shared" si="0"/>
        <v>0</v>
      </c>
      <c r="W57">
        <f t="shared" si="1"/>
        <v>0</v>
      </c>
      <c r="X57">
        <f t="shared" si="3"/>
        <v>0</v>
      </c>
    </row>
    <row r="58" spans="3:24">
      <c r="C58" s="11" t="s">
        <v>75</v>
      </c>
      <c r="D58" s="12">
        <v>3</v>
      </c>
      <c r="J58" s="11" t="s">
        <v>104</v>
      </c>
      <c r="K58" s="12">
        <v>2777.22</v>
      </c>
      <c r="L58" s="12">
        <v>5</v>
      </c>
      <c r="P58" s="11" t="s">
        <v>268</v>
      </c>
      <c r="Q58" s="2">
        <v>45352</v>
      </c>
      <c r="R58" s="2">
        <v>45338</v>
      </c>
      <c r="S58" s="12">
        <v>2</v>
      </c>
      <c r="T58">
        <f t="shared" si="0"/>
        <v>14</v>
      </c>
      <c r="W58">
        <f t="shared" si="1"/>
        <v>0.42857142857142855</v>
      </c>
      <c r="X58">
        <f t="shared" si="3"/>
        <v>0</v>
      </c>
    </row>
    <row r="59" spans="3:24">
      <c r="C59" s="11" t="s">
        <v>110</v>
      </c>
      <c r="D59" s="12">
        <v>10</v>
      </c>
      <c r="J59" s="11" t="s">
        <v>29</v>
      </c>
      <c r="K59" s="12">
        <v>2717.43</v>
      </c>
      <c r="L59" s="12">
        <v>6</v>
      </c>
      <c r="P59" s="11" t="s">
        <v>31</v>
      </c>
      <c r="Q59" s="2">
        <v>45437</v>
      </c>
      <c r="R59" s="2">
        <v>45409</v>
      </c>
      <c r="S59" s="12">
        <v>2</v>
      </c>
      <c r="T59">
        <f t="shared" si="0"/>
        <v>28</v>
      </c>
      <c r="W59">
        <f t="shared" si="1"/>
        <v>0.21428571428571427</v>
      </c>
      <c r="X59">
        <f t="shared" si="3"/>
        <v>0</v>
      </c>
    </row>
    <row r="60" spans="3:24">
      <c r="C60" s="11" t="s">
        <v>24</v>
      </c>
      <c r="D60" s="12">
        <v>3</v>
      </c>
      <c r="J60" s="11" t="s">
        <v>50</v>
      </c>
      <c r="K60" s="12">
        <v>2716.17</v>
      </c>
      <c r="L60" s="12">
        <v>4</v>
      </c>
      <c r="P60" s="11" t="s">
        <v>322</v>
      </c>
      <c r="Q60" s="2">
        <v>45433</v>
      </c>
      <c r="R60" s="2">
        <v>45311</v>
      </c>
      <c r="S60" s="12">
        <v>4</v>
      </c>
      <c r="T60">
        <f t="shared" si="0"/>
        <v>122</v>
      </c>
      <c r="W60">
        <f t="shared" si="1"/>
        <v>4.9180327868852458E-2</v>
      </c>
      <c r="X60">
        <f t="shared" si="3"/>
        <v>0</v>
      </c>
    </row>
    <row r="61" spans="3:24">
      <c r="C61" s="11" t="s">
        <v>64</v>
      </c>
      <c r="D61" s="12">
        <v>3</v>
      </c>
      <c r="J61" s="11" t="s">
        <v>115</v>
      </c>
      <c r="K61" s="12">
        <v>2705.2</v>
      </c>
      <c r="L61" s="12">
        <v>3</v>
      </c>
      <c r="P61" s="11" t="s">
        <v>309</v>
      </c>
      <c r="Q61" s="2">
        <v>45452</v>
      </c>
      <c r="R61" s="2">
        <v>45313</v>
      </c>
      <c r="S61" s="12">
        <v>5</v>
      </c>
      <c r="T61">
        <f t="shared" si="0"/>
        <v>139</v>
      </c>
      <c r="W61">
        <f t="shared" si="1"/>
        <v>4.3165467625899283E-2</v>
      </c>
      <c r="X61">
        <f t="shared" si="3"/>
        <v>0</v>
      </c>
    </row>
    <row r="62" spans="3:24">
      <c r="C62" s="11" t="s">
        <v>208</v>
      </c>
      <c r="D62" s="12">
        <v>3</v>
      </c>
      <c r="J62" s="11" t="s">
        <v>213</v>
      </c>
      <c r="K62" s="12">
        <v>2622.62</v>
      </c>
      <c r="L62" s="12">
        <v>4</v>
      </c>
      <c r="P62" s="11" t="s">
        <v>345</v>
      </c>
      <c r="Q62" s="2">
        <v>45468</v>
      </c>
      <c r="R62" s="2">
        <v>45451</v>
      </c>
      <c r="S62" s="12">
        <v>2</v>
      </c>
      <c r="T62">
        <f t="shared" si="0"/>
        <v>17</v>
      </c>
      <c r="W62">
        <f t="shared" si="1"/>
        <v>0.35294117647058826</v>
      </c>
      <c r="X62">
        <f t="shared" si="3"/>
        <v>0</v>
      </c>
    </row>
    <row r="63" spans="3:24">
      <c r="C63" s="11" t="s">
        <v>217</v>
      </c>
      <c r="D63" s="12">
        <v>2</v>
      </c>
      <c r="J63" s="11" t="s">
        <v>228</v>
      </c>
      <c r="K63" s="12">
        <v>2616.84</v>
      </c>
      <c r="L63" s="12">
        <v>2</v>
      </c>
      <c r="P63" s="11" t="s">
        <v>39</v>
      </c>
      <c r="Q63" s="2">
        <v>45436</v>
      </c>
      <c r="R63" s="2">
        <v>45323</v>
      </c>
      <c r="S63" s="12">
        <v>3</v>
      </c>
      <c r="T63">
        <f t="shared" si="0"/>
        <v>113</v>
      </c>
      <c r="W63">
        <f t="shared" si="1"/>
        <v>5.3097345132743362E-2</v>
      </c>
      <c r="X63">
        <f t="shared" si="3"/>
        <v>0</v>
      </c>
    </row>
    <row r="64" spans="3:24">
      <c r="C64" s="11" t="s">
        <v>144</v>
      </c>
      <c r="D64" s="12">
        <v>3</v>
      </c>
      <c r="J64" s="11" t="s">
        <v>210</v>
      </c>
      <c r="K64" s="12">
        <v>2604.15</v>
      </c>
      <c r="L64" s="12">
        <v>2</v>
      </c>
      <c r="P64" s="11" t="s">
        <v>248</v>
      </c>
      <c r="Q64" s="2">
        <v>45454</v>
      </c>
      <c r="R64" s="2">
        <v>45323</v>
      </c>
      <c r="S64" s="12">
        <v>2</v>
      </c>
      <c r="T64">
        <f t="shared" si="0"/>
        <v>131</v>
      </c>
      <c r="W64">
        <f t="shared" si="1"/>
        <v>4.5801526717557252E-2</v>
      </c>
      <c r="X64">
        <f t="shared" si="3"/>
        <v>0</v>
      </c>
    </row>
    <row r="65" spans="3:24">
      <c r="C65" s="11" t="s">
        <v>263</v>
      </c>
      <c r="D65" s="12">
        <v>6</v>
      </c>
      <c r="J65" s="11" t="s">
        <v>390</v>
      </c>
      <c r="K65" s="12">
        <v>2569.3500000000004</v>
      </c>
      <c r="L65" s="12">
        <v>2</v>
      </c>
      <c r="P65" s="11" t="s">
        <v>69</v>
      </c>
      <c r="Q65" s="2">
        <v>45428</v>
      </c>
      <c r="R65" s="2">
        <v>45326</v>
      </c>
      <c r="S65" s="12">
        <v>2</v>
      </c>
      <c r="T65">
        <f t="shared" si="0"/>
        <v>102</v>
      </c>
      <c r="W65">
        <f t="shared" si="1"/>
        <v>5.8823529411764705E-2</v>
      </c>
      <c r="X65">
        <f t="shared" si="3"/>
        <v>0</v>
      </c>
    </row>
    <row r="66" spans="3:24">
      <c r="C66" s="11" t="s">
        <v>333</v>
      </c>
      <c r="D66" s="12">
        <v>2</v>
      </c>
      <c r="J66" s="11" t="s">
        <v>66</v>
      </c>
      <c r="K66" s="12">
        <v>2552.87</v>
      </c>
      <c r="L66" s="12">
        <v>3</v>
      </c>
      <c r="P66" s="11" t="s">
        <v>242</v>
      </c>
      <c r="Q66" s="2">
        <v>45470</v>
      </c>
      <c r="R66" s="2">
        <v>45370</v>
      </c>
      <c r="S66" s="12">
        <v>4</v>
      </c>
      <c r="T66">
        <f t="shared" si="0"/>
        <v>100</v>
      </c>
      <c r="W66">
        <f t="shared" si="1"/>
        <v>0.06</v>
      </c>
      <c r="X66">
        <f t="shared" si="3"/>
        <v>0</v>
      </c>
    </row>
    <row r="67" spans="3:24">
      <c r="C67" s="11" t="s">
        <v>197</v>
      </c>
      <c r="D67" s="12">
        <v>6</v>
      </c>
      <c r="J67" s="11" t="s">
        <v>61</v>
      </c>
      <c r="K67" s="12">
        <v>2548.66</v>
      </c>
      <c r="L67" s="12">
        <v>6</v>
      </c>
      <c r="P67" s="11" t="s">
        <v>138</v>
      </c>
      <c r="Q67" s="2">
        <v>45471</v>
      </c>
      <c r="R67" s="2">
        <v>45292</v>
      </c>
      <c r="S67" s="12">
        <v>6</v>
      </c>
      <c r="T67">
        <f t="shared" si="0"/>
        <v>179</v>
      </c>
      <c r="W67">
        <f t="shared" si="1"/>
        <v>3.3519553072625698E-2</v>
      </c>
      <c r="X67">
        <f t="shared" si="3"/>
        <v>0</v>
      </c>
    </row>
    <row r="68" spans="3:24">
      <c r="C68" s="11" t="s">
        <v>383</v>
      </c>
      <c r="D68" s="12">
        <v>2</v>
      </c>
      <c r="J68" s="11" t="s">
        <v>268</v>
      </c>
      <c r="K68" s="12">
        <v>2518.87</v>
      </c>
      <c r="L68" s="12">
        <v>2</v>
      </c>
      <c r="P68" s="11" t="s">
        <v>86</v>
      </c>
      <c r="Q68" s="2">
        <v>45471</v>
      </c>
      <c r="R68" s="2">
        <v>45356</v>
      </c>
      <c r="S68" s="12">
        <v>3</v>
      </c>
      <c r="T68">
        <f t="shared" si="0"/>
        <v>115</v>
      </c>
      <c r="W68">
        <f t="shared" si="1"/>
        <v>5.2173913043478258E-2</v>
      </c>
      <c r="X68">
        <f t="shared" si="3"/>
        <v>0</v>
      </c>
    </row>
    <row r="69" spans="3:24">
      <c r="C69" s="11" t="s">
        <v>53</v>
      </c>
      <c r="D69" s="12">
        <v>3</v>
      </c>
      <c r="J69" s="11" t="s">
        <v>296</v>
      </c>
      <c r="K69" s="12">
        <v>2506.64</v>
      </c>
      <c r="L69" s="12">
        <v>2</v>
      </c>
      <c r="P69" s="11" t="s">
        <v>194</v>
      </c>
      <c r="Q69" s="2">
        <v>45433</v>
      </c>
      <c r="R69" s="2">
        <v>45424</v>
      </c>
      <c r="S69" s="12">
        <v>2</v>
      </c>
      <c r="T69">
        <f t="shared" si="0"/>
        <v>9</v>
      </c>
      <c r="W69">
        <f t="shared" si="1"/>
        <v>0.66666666666666663</v>
      </c>
    </row>
    <row r="70" spans="3:24">
      <c r="C70" s="11" t="s">
        <v>288</v>
      </c>
      <c r="D70" s="12">
        <v>2</v>
      </c>
      <c r="J70" s="11" t="s">
        <v>33</v>
      </c>
      <c r="K70" s="12">
        <v>2505.6799999999998</v>
      </c>
      <c r="L70" s="12">
        <v>3</v>
      </c>
      <c r="P70" s="11" t="s">
        <v>421</v>
      </c>
      <c r="Q70" s="2">
        <v>45455</v>
      </c>
      <c r="R70" s="2">
        <v>45455</v>
      </c>
      <c r="S70" s="12">
        <v>1</v>
      </c>
      <c r="T70">
        <f t="shared" si="0"/>
        <v>0</v>
      </c>
      <c r="W70">
        <f t="shared" si="1"/>
        <v>0</v>
      </c>
    </row>
    <row r="71" spans="3:24">
      <c r="C71" s="11" t="s">
        <v>92</v>
      </c>
      <c r="D71" s="12">
        <v>3</v>
      </c>
      <c r="J71" s="11" t="s">
        <v>441</v>
      </c>
      <c r="K71" s="12">
        <v>2451.6</v>
      </c>
      <c r="L71" s="12">
        <v>3</v>
      </c>
      <c r="P71" s="11" t="s">
        <v>77</v>
      </c>
      <c r="Q71" s="2">
        <v>45446</v>
      </c>
      <c r="R71" s="2">
        <v>45332</v>
      </c>
      <c r="S71" s="12">
        <v>2</v>
      </c>
      <c r="T71">
        <f t="shared" si="0"/>
        <v>114</v>
      </c>
      <c r="W71">
        <f t="shared" si="1"/>
        <v>5.2631578947368418E-2</v>
      </c>
    </row>
    <row r="72" spans="3:24">
      <c r="C72" s="11" t="s">
        <v>306</v>
      </c>
      <c r="D72" s="12">
        <v>3</v>
      </c>
      <c r="J72" s="11" t="s">
        <v>140</v>
      </c>
      <c r="K72" s="12">
        <v>2398.54</v>
      </c>
      <c r="L72" s="12">
        <v>3</v>
      </c>
      <c r="P72" s="11" t="s">
        <v>175</v>
      </c>
      <c r="Q72" s="2">
        <v>45448</v>
      </c>
      <c r="R72" s="2">
        <v>45424</v>
      </c>
      <c r="S72" s="12">
        <v>4</v>
      </c>
      <c r="T72">
        <f t="shared" si="0"/>
        <v>24</v>
      </c>
      <c r="W72">
        <f t="shared" si="1"/>
        <v>0.25</v>
      </c>
    </row>
    <row r="73" spans="3:24">
      <c r="C73" s="11" t="s">
        <v>142</v>
      </c>
      <c r="D73" s="12">
        <v>2</v>
      </c>
      <c r="J73" s="11" t="s">
        <v>144</v>
      </c>
      <c r="K73" s="12">
        <v>2303.84</v>
      </c>
      <c r="L73" s="12">
        <v>3</v>
      </c>
      <c r="P73" s="11" t="s">
        <v>210</v>
      </c>
      <c r="Q73" s="2">
        <v>45459</v>
      </c>
      <c r="R73" s="2">
        <v>45292</v>
      </c>
      <c r="S73" s="12">
        <v>2</v>
      </c>
      <c r="T73">
        <f t="shared" si="0"/>
        <v>167</v>
      </c>
      <c r="W73">
        <f t="shared" si="1"/>
        <v>3.5928143712574849E-2</v>
      </c>
    </row>
    <row r="74" spans="3:24">
      <c r="C74" s="11" t="s">
        <v>9</v>
      </c>
      <c r="D74" s="12">
        <v>4</v>
      </c>
      <c r="J74" s="11" t="s">
        <v>158</v>
      </c>
      <c r="K74" s="12">
        <v>2286.3999999999996</v>
      </c>
      <c r="L74" s="12">
        <v>4</v>
      </c>
      <c r="P74" s="11" t="s">
        <v>21</v>
      </c>
      <c r="Q74" s="2">
        <v>45464</v>
      </c>
      <c r="R74" s="2">
        <v>45344</v>
      </c>
      <c r="S74" s="12">
        <v>3</v>
      </c>
      <c r="T74">
        <f t="shared" si="0"/>
        <v>120</v>
      </c>
      <c r="W74">
        <f t="shared" si="1"/>
        <v>0.05</v>
      </c>
    </row>
    <row r="75" spans="3:24">
      <c r="C75" s="11" t="s">
        <v>158</v>
      </c>
      <c r="D75" s="12">
        <v>4</v>
      </c>
      <c r="J75" s="11" t="s">
        <v>171</v>
      </c>
      <c r="K75" s="12">
        <v>2218.67</v>
      </c>
      <c r="L75" s="12">
        <v>3</v>
      </c>
      <c r="P75" s="11" t="s">
        <v>376</v>
      </c>
      <c r="Q75" s="2">
        <v>45358</v>
      </c>
      <c r="R75" s="2">
        <v>45338</v>
      </c>
      <c r="S75" s="12">
        <v>2</v>
      </c>
      <c r="T75">
        <f t="shared" si="0"/>
        <v>20</v>
      </c>
      <c r="W75">
        <f t="shared" si="1"/>
        <v>0.3</v>
      </c>
    </row>
    <row r="76" spans="3:24">
      <c r="C76" s="11" t="s">
        <v>50</v>
      </c>
      <c r="D76" s="12">
        <v>4</v>
      </c>
      <c r="J76" s="11" t="s">
        <v>309</v>
      </c>
      <c r="K76" s="12">
        <v>2218.5099999999998</v>
      </c>
      <c r="L76" s="12">
        <v>5</v>
      </c>
      <c r="P76" s="11" t="s">
        <v>357</v>
      </c>
      <c r="Q76" s="2">
        <v>45402</v>
      </c>
      <c r="R76" s="2">
        <v>45402</v>
      </c>
      <c r="S76" s="12">
        <v>1</v>
      </c>
      <c r="T76">
        <f t="shared" si="0"/>
        <v>0</v>
      </c>
      <c r="W76">
        <f t="shared" si="1"/>
        <v>0</v>
      </c>
    </row>
    <row r="77" spans="3:24">
      <c r="C77" s="11" t="s">
        <v>100</v>
      </c>
      <c r="D77" s="12">
        <v>2</v>
      </c>
      <c r="J77" s="11" t="s">
        <v>73</v>
      </c>
      <c r="K77" s="12">
        <v>2164.11</v>
      </c>
      <c r="L77" s="12">
        <v>6</v>
      </c>
      <c r="P77" s="11" t="s">
        <v>33</v>
      </c>
      <c r="Q77" s="2">
        <v>45430</v>
      </c>
      <c r="R77" s="2">
        <v>45310</v>
      </c>
      <c r="S77" s="12">
        <v>3</v>
      </c>
      <c r="T77">
        <f t="shared" si="0"/>
        <v>120</v>
      </c>
      <c r="W77">
        <f t="shared" si="1"/>
        <v>0.05</v>
      </c>
    </row>
    <row r="78" spans="3:24">
      <c r="C78" s="11" t="s">
        <v>82</v>
      </c>
      <c r="D78" s="12">
        <v>3</v>
      </c>
      <c r="J78" s="11" t="s">
        <v>513</v>
      </c>
      <c r="K78" s="12">
        <v>2156.1</v>
      </c>
      <c r="L78" s="12">
        <v>1</v>
      </c>
      <c r="P78" s="11" t="s">
        <v>125</v>
      </c>
      <c r="Q78" s="2">
        <v>45428</v>
      </c>
      <c r="R78" s="2">
        <v>45365</v>
      </c>
      <c r="S78" s="12">
        <v>3</v>
      </c>
      <c r="T78">
        <f t="shared" si="0"/>
        <v>63</v>
      </c>
      <c r="W78">
        <f t="shared" si="1"/>
        <v>9.5238095238095233E-2</v>
      </c>
    </row>
    <row r="79" spans="3:24">
      <c r="C79" s="11" t="s">
        <v>56</v>
      </c>
      <c r="D79" s="12">
        <v>7</v>
      </c>
      <c r="J79" s="11" t="s">
        <v>246</v>
      </c>
      <c r="K79" s="12">
        <v>2033.7</v>
      </c>
      <c r="L79" s="12">
        <v>3</v>
      </c>
      <c r="P79" s="11" t="s">
        <v>45</v>
      </c>
      <c r="Q79" s="2">
        <v>45461</v>
      </c>
      <c r="R79" s="2">
        <v>45336</v>
      </c>
      <c r="S79" s="12">
        <v>5</v>
      </c>
      <c r="T79">
        <f t="shared" si="0"/>
        <v>125</v>
      </c>
      <c r="W79">
        <f t="shared" si="1"/>
        <v>4.8000000000000001E-2</v>
      </c>
    </row>
    <row r="80" spans="3:24">
      <c r="C80" s="11" t="s">
        <v>130</v>
      </c>
      <c r="D80" s="12">
        <v>3</v>
      </c>
      <c r="J80" s="11" t="s">
        <v>31</v>
      </c>
      <c r="K80" s="12">
        <v>2014.7800000000002</v>
      </c>
      <c r="L80" s="12">
        <v>2</v>
      </c>
      <c r="P80" s="11" t="s">
        <v>366</v>
      </c>
      <c r="Q80" s="2">
        <v>45403</v>
      </c>
      <c r="R80" s="2">
        <v>45403</v>
      </c>
      <c r="S80" s="12">
        <v>1</v>
      </c>
      <c r="T80">
        <f t="shared" si="0"/>
        <v>0</v>
      </c>
      <c r="W80">
        <f t="shared" si="1"/>
        <v>0</v>
      </c>
    </row>
    <row r="81" spans="3:23">
      <c r="C81" s="11" t="s">
        <v>127</v>
      </c>
      <c r="D81" s="12">
        <v>4</v>
      </c>
      <c r="J81" s="11" t="s">
        <v>438</v>
      </c>
      <c r="K81" s="12">
        <v>1993.54</v>
      </c>
      <c r="L81" s="12">
        <v>2</v>
      </c>
      <c r="P81" s="11" t="s">
        <v>257</v>
      </c>
      <c r="Q81" s="2">
        <v>45406</v>
      </c>
      <c r="R81" s="2">
        <v>45313</v>
      </c>
      <c r="S81" s="12">
        <v>3</v>
      </c>
      <c r="T81">
        <f t="shared" si="0"/>
        <v>93</v>
      </c>
      <c r="W81">
        <f t="shared" si="1"/>
        <v>6.4516129032258063E-2</v>
      </c>
    </row>
    <row r="82" spans="3:23">
      <c r="C82" s="11" t="s">
        <v>106</v>
      </c>
      <c r="D82" s="12">
        <v>2</v>
      </c>
      <c r="J82" s="11" t="s">
        <v>9</v>
      </c>
      <c r="K82" s="12">
        <v>1981.5100000000002</v>
      </c>
      <c r="L82" s="12">
        <v>4</v>
      </c>
      <c r="P82" s="11" t="s">
        <v>213</v>
      </c>
      <c r="Q82" s="2">
        <v>45405</v>
      </c>
      <c r="R82" s="2">
        <v>45305</v>
      </c>
      <c r="S82" s="12">
        <v>4</v>
      </c>
      <c r="T82">
        <f t="shared" si="0"/>
        <v>100</v>
      </c>
      <c r="W82">
        <f t="shared" si="1"/>
        <v>0.06</v>
      </c>
    </row>
    <row r="83" spans="3:23">
      <c r="C83" s="11" t="s">
        <v>184</v>
      </c>
      <c r="D83" s="12">
        <v>4</v>
      </c>
      <c r="J83" s="11" t="s">
        <v>208</v>
      </c>
      <c r="K83" s="12">
        <v>1923.62</v>
      </c>
      <c r="L83" s="12">
        <v>3</v>
      </c>
      <c r="P83" s="11" t="s">
        <v>234</v>
      </c>
      <c r="Q83" s="2">
        <v>45418</v>
      </c>
      <c r="R83" s="2">
        <v>45336</v>
      </c>
      <c r="S83" s="12">
        <v>4</v>
      </c>
      <c r="T83">
        <f t="shared" si="0"/>
        <v>82</v>
      </c>
      <c r="W83">
        <f t="shared" si="1"/>
        <v>7.3170731707317069E-2</v>
      </c>
    </row>
    <row r="84" spans="3:23">
      <c r="C84" s="11" t="s">
        <v>181</v>
      </c>
      <c r="D84" s="12">
        <v>5</v>
      </c>
      <c r="J84" s="11" t="s">
        <v>88</v>
      </c>
      <c r="K84" s="12">
        <v>1894.7299999999998</v>
      </c>
      <c r="L84" s="12">
        <v>6</v>
      </c>
      <c r="P84" s="11" t="s">
        <v>201</v>
      </c>
      <c r="Q84" s="2">
        <v>45470</v>
      </c>
      <c r="R84" s="2">
        <v>45295</v>
      </c>
      <c r="S84" s="12">
        <v>5</v>
      </c>
      <c r="T84">
        <f t="shared" si="0"/>
        <v>175</v>
      </c>
      <c r="W84">
        <f t="shared" si="1"/>
        <v>3.4285714285714287E-2</v>
      </c>
    </row>
    <row r="85" spans="3:23">
      <c r="C85" s="11" t="s">
        <v>84</v>
      </c>
      <c r="D85" s="12">
        <v>3</v>
      </c>
      <c r="J85" s="11" t="s">
        <v>232</v>
      </c>
      <c r="K85" s="12">
        <v>1891.26</v>
      </c>
      <c r="L85" s="12">
        <v>3</v>
      </c>
      <c r="P85" s="11" t="s">
        <v>47</v>
      </c>
      <c r="Q85" s="2">
        <v>45412</v>
      </c>
      <c r="R85" s="2">
        <v>45319</v>
      </c>
      <c r="S85" s="12">
        <v>4</v>
      </c>
      <c r="T85">
        <f t="shared" si="0"/>
        <v>93</v>
      </c>
      <c r="W85">
        <f t="shared" si="1"/>
        <v>6.4516129032258063E-2</v>
      </c>
    </row>
    <row r="86" spans="3:23">
      <c r="C86" s="11" t="s">
        <v>12</v>
      </c>
      <c r="D86" s="12">
        <v>6</v>
      </c>
      <c r="J86" s="11" t="s">
        <v>149</v>
      </c>
      <c r="K86" s="12">
        <v>1813.2199999999998</v>
      </c>
      <c r="L86" s="12">
        <v>3</v>
      </c>
      <c r="P86" s="11" t="s">
        <v>112</v>
      </c>
      <c r="Q86" s="2">
        <v>45417</v>
      </c>
      <c r="R86" s="2">
        <v>45331</v>
      </c>
      <c r="S86" s="12">
        <v>5</v>
      </c>
      <c r="T86">
        <f t="shared" si="0"/>
        <v>86</v>
      </c>
      <c r="W86">
        <f t="shared" si="1"/>
        <v>6.9767441860465115E-2</v>
      </c>
    </row>
    <row r="87" spans="3:23">
      <c r="C87" s="11" t="s">
        <v>314</v>
      </c>
      <c r="D87" s="12">
        <v>2</v>
      </c>
      <c r="J87" s="11" t="s">
        <v>234</v>
      </c>
      <c r="K87" s="12">
        <v>1809.42</v>
      </c>
      <c r="L87" s="12">
        <v>4</v>
      </c>
      <c r="P87" s="11" t="s">
        <v>311</v>
      </c>
      <c r="Q87" s="2">
        <v>45418</v>
      </c>
      <c r="R87" s="2">
        <v>45317</v>
      </c>
      <c r="S87" s="12">
        <v>3</v>
      </c>
      <c r="T87">
        <f t="shared" si="0"/>
        <v>101</v>
      </c>
      <c r="W87">
        <f t="shared" si="1"/>
        <v>5.9405940594059403E-2</v>
      </c>
    </row>
    <row r="88" spans="3:23">
      <c r="C88" s="11" t="s">
        <v>187</v>
      </c>
      <c r="D88" s="12">
        <v>4</v>
      </c>
      <c r="J88" s="11" t="s">
        <v>64</v>
      </c>
      <c r="K88" s="12">
        <v>1801.1299999999999</v>
      </c>
      <c r="L88" s="12">
        <v>3</v>
      </c>
      <c r="P88" s="11" t="s">
        <v>513</v>
      </c>
      <c r="Q88" s="2">
        <v>45325</v>
      </c>
      <c r="R88" s="2">
        <v>45325</v>
      </c>
      <c r="S88" s="12">
        <v>1</v>
      </c>
      <c r="T88">
        <f t="shared" si="0"/>
        <v>0</v>
      </c>
      <c r="W88">
        <f t="shared" si="1"/>
        <v>0</v>
      </c>
    </row>
    <row r="89" spans="3:23">
      <c r="C89" s="11" t="s">
        <v>395</v>
      </c>
      <c r="D89" s="12">
        <v>3</v>
      </c>
      <c r="J89" s="11" t="s">
        <v>179</v>
      </c>
      <c r="K89" s="12">
        <v>1787.3000000000002</v>
      </c>
      <c r="L89" s="12">
        <v>3</v>
      </c>
      <c r="P89" s="11" t="s">
        <v>42</v>
      </c>
      <c r="Q89" s="2">
        <v>45315</v>
      </c>
      <c r="R89" s="2">
        <v>45310</v>
      </c>
      <c r="S89" s="12">
        <v>2</v>
      </c>
      <c r="T89">
        <f t="shared" si="0"/>
        <v>5</v>
      </c>
      <c r="W89">
        <f t="shared" si="1"/>
        <v>1.2</v>
      </c>
    </row>
    <row r="90" spans="3:23">
      <c r="C90" s="11" t="s">
        <v>119</v>
      </c>
      <c r="D90" s="12">
        <v>2</v>
      </c>
      <c r="J90" s="11" t="s">
        <v>166</v>
      </c>
      <c r="K90" s="12">
        <v>1744.44</v>
      </c>
      <c r="L90" s="12">
        <v>3</v>
      </c>
      <c r="P90" s="11" t="s">
        <v>430</v>
      </c>
      <c r="Q90" s="2">
        <v>45394</v>
      </c>
      <c r="R90" s="2">
        <v>45374</v>
      </c>
      <c r="S90" s="12">
        <v>2</v>
      </c>
      <c r="T90">
        <f t="shared" si="0"/>
        <v>20</v>
      </c>
      <c r="W90">
        <f t="shared" si="1"/>
        <v>0.3</v>
      </c>
    </row>
    <row r="91" spans="3:23">
      <c r="C91" s="11" t="s">
        <v>15</v>
      </c>
      <c r="D91" s="12">
        <v>5</v>
      </c>
      <c r="J91" s="11" t="s">
        <v>277</v>
      </c>
      <c r="K91" s="12">
        <v>1733.12</v>
      </c>
      <c r="L91" s="12">
        <v>1</v>
      </c>
      <c r="P91" s="11" t="s">
        <v>438</v>
      </c>
      <c r="Q91" s="2">
        <v>45322</v>
      </c>
      <c r="R91" s="2">
        <v>45315</v>
      </c>
      <c r="S91" s="12">
        <v>2</v>
      </c>
      <c r="T91">
        <f t="shared" si="0"/>
        <v>7</v>
      </c>
      <c r="W91">
        <f t="shared" si="1"/>
        <v>0.8571428571428571</v>
      </c>
    </row>
    <row r="92" spans="3:23">
      <c r="C92" s="11" t="s">
        <v>79</v>
      </c>
      <c r="D92" s="12">
        <v>2</v>
      </c>
      <c r="J92" s="11" t="s">
        <v>53</v>
      </c>
      <c r="K92" s="12">
        <v>1689.85</v>
      </c>
      <c r="L92" s="12">
        <v>3</v>
      </c>
      <c r="P92" s="11" t="s">
        <v>75</v>
      </c>
      <c r="Q92" s="2">
        <v>45458</v>
      </c>
      <c r="R92" s="2">
        <v>45361</v>
      </c>
      <c r="S92" s="12">
        <v>3</v>
      </c>
      <c r="T92">
        <f t="shared" si="0"/>
        <v>97</v>
      </c>
      <c r="W92">
        <f t="shared" si="1"/>
        <v>6.1855670103092786E-2</v>
      </c>
    </row>
    <row r="93" spans="3:23">
      <c r="C93" s="11" t="s">
        <v>94</v>
      </c>
      <c r="D93" s="12">
        <v>3</v>
      </c>
      <c r="J93" s="11" t="s">
        <v>173</v>
      </c>
      <c r="K93" s="12">
        <v>1664.5</v>
      </c>
      <c r="L93" s="12">
        <v>1</v>
      </c>
      <c r="P93" s="11" t="s">
        <v>254</v>
      </c>
      <c r="Q93" s="2">
        <v>45448</v>
      </c>
      <c r="R93" s="2">
        <v>45448</v>
      </c>
      <c r="S93" s="12">
        <v>1</v>
      </c>
      <c r="T93">
        <f t="shared" si="0"/>
        <v>0</v>
      </c>
      <c r="W93">
        <f t="shared" si="1"/>
        <v>0</v>
      </c>
    </row>
    <row r="94" spans="3:23">
      <c r="C94" s="11" t="s">
        <v>104</v>
      </c>
      <c r="D94" s="12">
        <v>5</v>
      </c>
      <c r="J94" s="11" t="s">
        <v>84</v>
      </c>
      <c r="K94" s="12">
        <v>1653.04</v>
      </c>
      <c r="L94" s="12">
        <v>3</v>
      </c>
      <c r="P94" s="11" t="s">
        <v>110</v>
      </c>
      <c r="Q94" s="2">
        <v>45465</v>
      </c>
      <c r="R94" s="2">
        <v>45305</v>
      </c>
      <c r="S94" s="12">
        <v>10</v>
      </c>
      <c r="T94">
        <f t="shared" si="0"/>
        <v>160</v>
      </c>
      <c r="W94">
        <f t="shared" si="1"/>
        <v>3.7499999999999999E-2</v>
      </c>
    </row>
    <row r="95" spans="3:23">
      <c r="C95" s="11" t="s">
        <v>140</v>
      </c>
      <c r="D95" s="12">
        <v>3</v>
      </c>
      <c r="J95" s="11" t="s">
        <v>248</v>
      </c>
      <c r="K95" s="12">
        <v>1636.82</v>
      </c>
      <c r="L95" s="12">
        <v>2</v>
      </c>
      <c r="P95" s="11" t="s">
        <v>24</v>
      </c>
      <c r="Q95" s="2">
        <v>45462</v>
      </c>
      <c r="R95" s="2">
        <v>45353</v>
      </c>
      <c r="S95" s="12">
        <v>3</v>
      </c>
      <c r="T95">
        <f t="shared" si="0"/>
        <v>109</v>
      </c>
      <c r="W95">
        <f t="shared" si="1"/>
        <v>5.5045871559633031E-2</v>
      </c>
    </row>
    <row r="96" spans="3:23">
      <c r="C96" s="11" t="s">
        <v>61</v>
      </c>
      <c r="D96" s="12">
        <v>6</v>
      </c>
      <c r="J96" s="11" t="s">
        <v>86</v>
      </c>
      <c r="K96" s="12">
        <v>1601.79</v>
      </c>
      <c r="L96" s="12">
        <v>3</v>
      </c>
      <c r="P96" s="11" t="s">
        <v>64</v>
      </c>
      <c r="Q96" s="2">
        <v>45377</v>
      </c>
      <c r="R96" s="2">
        <v>45294</v>
      </c>
      <c r="S96" s="12">
        <v>3</v>
      </c>
      <c r="T96">
        <f t="shared" si="0"/>
        <v>83</v>
      </c>
      <c r="W96">
        <f t="shared" si="1"/>
        <v>7.2289156626506021E-2</v>
      </c>
    </row>
    <row r="97" spans="3:23">
      <c r="C97" s="11" t="s">
        <v>301</v>
      </c>
      <c r="D97" s="12">
        <v>3</v>
      </c>
      <c r="J97" s="11" t="s">
        <v>430</v>
      </c>
      <c r="K97" s="12">
        <v>1543.4699999999998</v>
      </c>
      <c r="L97" s="12">
        <v>2</v>
      </c>
      <c r="P97" s="11" t="s">
        <v>173</v>
      </c>
      <c r="Q97" s="2">
        <v>45321</v>
      </c>
      <c r="R97" s="2">
        <v>45321</v>
      </c>
      <c r="S97" s="12">
        <v>1</v>
      </c>
      <c r="T97">
        <f t="shared" si="0"/>
        <v>0</v>
      </c>
      <c r="W97">
        <f t="shared" si="1"/>
        <v>0</v>
      </c>
    </row>
    <row r="98" spans="3:23">
      <c r="C98" s="11" t="s">
        <v>66</v>
      </c>
      <c r="D98" s="12">
        <v>3</v>
      </c>
      <c r="J98" s="11" t="s">
        <v>205</v>
      </c>
      <c r="K98" s="12">
        <v>1463.1599999999999</v>
      </c>
      <c r="L98" s="12">
        <v>2</v>
      </c>
      <c r="P98" s="11" t="s">
        <v>208</v>
      </c>
      <c r="Q98" s="2">
        <v>45440</v>
      </c>
      <c r="R98" s="2">
        <v>45310</v>
      </c>
      <c r="S98" s="12">
        <v>3</v>
      </c>
      <c r="T98">
        <f t="shared" si="0"/>
        <v>130</v>
      </c>
      <c r="W98">
        <f t="shared" si="1"/>
        <v>4.6153846153846156E-2</v>
      </c>
    </row>
    <row r="99" spans="3:23">
      <c r="C99" s="11" t="s">
        <v>237</v>
      </c>
      <c r="D99" s="12">
        <v>2</v>
      </c>
      <c r="J99" s="11" t="s">
        <v>75</v>
      </c>
      <c r="K99" s="12">
        <v>1419.84</v>
      </c>
      <c r="L99" s="12">
        <v>3</v>
      </c>
      <c r="P99" s="11" t="s">
        <v>217</v>
      </c>
      <c r="Q99" s="2">
        <v>45463</v>
      </c>
      <c r="R99" s="2">
        <v>45364</v>
      </c>
      <c r="S99" s="12">
        <v>2</v>
      </c>
      <c r="T99">
        <f t="shared" si="0"/>
        <v>99</v>
      </c>
      <c r="W99">
        <f t="shared" si="1"/>
        <v>6.0606060606060608E-2</v>
      </c>
    </row>
    <row r="100" spans="3:23">
      <c r="C100" s="11" t="s">
        <v>221</v>
      </c>
      <c r="D100" s="12">
        <v>3</v>
      </c>
      <c r="J100" s="11" t="s">
        <v>169</v>
      </c>
      <c r="K100" s="12">
        <v>1321.72</v>
      </c>
      <c r="L100" s="12">
        <v>3</v>
      </c>
      <c r="P100" s="11" t="s">
        <v>144</v>
      </c>
      <c r="Q100" s="2">
        <v>45412</v>
      </c>
      <c r="R100" s="2">
        <v>45356</v>
      </c>
      <c r="S100" s="12">
        <v>3</v>
      </c>
      <c r="T100">
        <f t="shared" si="0"/>
        <v>56</v>
      </c>
      <c r="W100">
        <f t="shared" si="1"/>
        <v>0.10714285714285714</v>
      </c>
    </row>
    <row r="101" spans="3:23">
      <c r="C101" s="11" t="s">
        <v>179</v>
      </c>
      <c r="D101" s="12">
        <v>3</v>
      </c>
      <c r="J101" s="11" t="s">
        <v>257</v>
      </c>
      <c r="K101" s="12">
        <v>1262.73</v>
      </c>
      <c r="L101" s="12">
        <v>3</v>
      </c>
      <c r="P101" s="11" t="s">
        <v>263</v>
      </c>
      <c r="Q101" s="2">
        <v>45442</v>
      </c>
      <c r="R101" s="2">
        <v>45302</v>
      </c>
      <c r="S101" s="12">
        <v>6</v>
      </c>
      <c r="T101">
        <f t="shared" si="0"/>
        <v>140</v>
      </c>
      <c r="W101">
        <f t="shared" si="1"/>
        <v>4.2857142857142858E-2</v>
      </c>
    </row>
    <row r="102" spans="3:23">
      <c r="C102" s="11" t="s">
        <v>435</v>
      </c>
      <c r="D102" s="12">
        <v>2</v>
      </c>
      <c r="J102" s="11" t="s">
        <v>317</v>
      </c>
      <c r="K102" s="12">
        <v>1260.28</v>
      </c>
      <c r="L102" s="12">
        <v>2</v>
      </c>
      <c r="P102" s="11" t="s">
        <v>333</v>
      </c>
      <c r="Q102" s="2">
        <v>45436</v>
      </c>
      <c r="R102" s="2">
        <v>45348</v>
      </c>
      <c r="S102" s="12">
        <v>2</v>
      </c>
      <c r="T102">
        <f t="shared" si="0"/>
        <v>88</v>
      </c>
      <c r="W102">
        <f t="shared" si="1"/>
        <v>6.8181818181818177E-2</v>
      </c>
    </row>
    <row r="103" spans="3:23">
      <c r="C103" s="11" t="s">
        <v>36</v>
      </c>
      <c r="D103" s="12">
        <v>7</v>
      </c>
      <c r="J103" s="11" t="s">
        <v>395</v>
      </c>
      <c r="K103" s="12">
        <v>1173.83</v>
      </c>
      <c r="L103" s="12">
        <v>3</v>
      </c>
      <c r="P103" s="11" t="s">
        <v>197</v>
      </c>
      <c r="Q103" s="2">
        <v>45462</v>
      </c>
      <c r="R103" s="2">
        <v>45309</v>
      </c>
      <c r="S103" s="12">
        <v>6</v>
      </c>
      <c r="T103">
        <f t="shared" si="0"/>
        <v>153</v>
      </c>
      <c r="W103">
        <f t="shared" si="1"/>
        <v>3.9215686274509803E-2</v>
      </c>
    </row>
    <row r="104" spans="3:23">
      <c r="C104" s="11" t="s">
        <v>171</v>
      </c>
      <c r="D104" s="12">
        <v>3</v>
      </c>
      <c r="J104" s="11" t="s">
        <v>90</v>
      </c>
      <c r="K104" s="12">
        <v>1169.3599999999999</v>
      </c>
      <c r="L104" s="12">
        <v>1</v>
      </c>
      <c r="P104" s="11" t="s">
        <v>383</v>
      </c>
      <c r="Q104" s="2">
        <v>45424</v>
      </c>
      <c r="R104" s="2">
        <v>45372</v>
      </c>
      <c r="S104" s="12">
        <v>2</v>
      </c>
      <c r="T104">
        <f t="shared" si="0"/>
        <v>52</v>
      </c>
      <c r="W104">
        <f t="shared" si="1"/>
        <v>0.11538461538461539</v>
      </c>
    </row>
    <row r="105" spans="3:23">
      <c r="C105" s="11" t="s">
        <v>296</v>
      </c>
      <c r="D105" s="12">
        <v>2</v>
      </c>
      <c r="J105" s="11" t="s">
        <v>175</v>
      </c>
      <c r="K105" s="12">
        <v>1166.3699999999999</v>
      </c>
      <c r="L105" s="12">
        <v>4</v>
      </c>
      <c r="P105" s="11" t="s">
        <v>53</v>
      </c>
      <c r="Q105" s="2">
        <v>45461</v>
      </c>
      <c r="R105" s="2">
        <v>45354</v>
      </c>
      <c r="S105" s="12">
        <v>3</v>
      </c>
      <c r="T105">
        <f t="shared" ref="T105:T154" si="4">Q104:Q219-R104:R219</f>
        <v>107</v>
      </c>
      <c r="W105">
        <f t="shared" ref="W105:W154" si="5">IF(T105&lt;&gt;0,GETPIVOTDATA("Count of OrderID",$P$39,"CustomerID","CUST001")/T105,0)</f>
        <v>5.6074766355140186E-2</v>
      </c>
    </row>
    <row r="106" spans="3:23">
      <c r="C106" s="11" t="s">
        <v>166</v>
      </c>
      <c r="D106" s="12">
        <v>3</v>
      </c>
      <c r="J106" s="11" t="s">
        <v>306</v>
      </c>
      <c r="K106" s="12">
        <v>1155.5899999999999</v>
      </c>
      <c r="L106" s="12">
        <v>3</v>
      </c>
      <c r="P106" s="11" t="s">
        <v>288</v>
      </c>
      <c r="Q106" s="2">
        <v>45445</v>
      </c>
      <c r="R106" s="2">
        <v>45382</v>
      </c>
      <c r="S106" s="12">
        <v>2</v>
      </c>
      <c r="T106">
        <f t="shared" si="4"/>
        <v>63</v>
      </c>
      <c r="W106">
        <f t="shared" si="5"/>
        <v>9.5238095238095233E-2</v>
      </c>
    </row>
    <row r="107" spans="3:23">
      <c r="C107" s="11" t="s">
        <v>246</v>
      </c>
      <c r="D107" s="12">
        <v>3</v>
      </c>
      <c r="J107" s="11" t="s">
        <v>362</v>
      </c>
      <c r="K107" s="12">
        <v>1135.6500000000001</v>
      </c>
      <c r="L107" s="12">
        <v>1</v>
      </c>
      <c r="P107" s="11" t="s">
        <v>92</v>
      </c>
      <c r="Q107" s="2">
        <v>45362</v>
      </c>
      <c r="R107" s="2">
        <v>45292</v>
      </c>
      <c r="S107" s="12">
        <v>3</v>
      </c>
      <c r="T107">
        <f t="shared" si="4"/>
        <v>70</v>
      </c>
      <c r="W107">
        <f t="shared" si="5"/>
        <v>8.5714285714285715E-2</v>
      </c>
    </row>
    <row r="108" spans="3:23">
      <c r="C108" s="11" t="s">
        <v>6</v>
      </c>
      <c r="D108" s="12">
        <v>4</v>
      </c>
      <c r="J108" s="11" t="s">
        <v>92</v>
      </c>
      <c r="K108" s="12">
        <v>1068.97</v>
      </c>
      <c r="L108" s="12">
        <v>3</v>
      </c>
      <c r="P108" s="11" t="s">
        <v>306</v>
      </c>
      <c r="Q108" s="2">
        <v>45392</v>
      </c>
      <c r="R108" s="2">
        <v>45354</v>
      </c>
      <c r="S108" s="12">
        <v>3</v>
      </c>
      <c r="T108">
        <f t="shared" si="4"/>
        <v>38</v>
      </c>
      <c r="W108">
        <f t="shared" si="5"/>
        <v>0.15789473684210525</v>
      </c>
    </row>
    <row r="109" spans="3:23">
      <c r="C109" s="11" t="s">
        <v>115</v>
      </c>
      <c r="D109" s="12">
        <v>3</v>
      </c>
      <c r="J109" s="11" t="s">
        <v>79</v>
      </c>
      <c r="K109" s="12">
        <v>1006.51</v>
      </c>
      <c r="L109" s="12">
        <v>2</v>
      </c>
      <c r="P109" s="11" t="s">
        <v>142</v>
      </c>
      <c r="Q109" s="2">
        <v>45389</v>
      </c>
      <c r="R109" s="2">
        <v>45351</v>
      </c>
      <c r="S109" s="12">
        <v>2</v>
      </c>
      <c r="T109">
        <f t="shared" si="4"/>
        <v>38</v>
      </c>
      <c r="W109">
        <f t="shared" si="5"/>
        <v>0.15789473684210525</v>
      </c>
    </row>
    <row r="110" spans="3:23">
      <c r="C110" s="11" t="s">
        <v>390</v>
      </c>
      <c r="D110" s="12">
        <v>2</v>
      </c>
      <c r="J110" s="11" t="s">
        <v>435</v>
      </c>
      <c r="K110" s="12">
        <v>992.98</v>
      </c>
      <c r="L110" s="12">
        <v>2</v>
      </c>
      <c r="P110" s="11" t="s">
        <v>277</v>
      </c>
      <c r="Q110" s="2">
        <v>45396</v>
      </c>
      <c r="R110" s="2">
        <v>45396</v>
      </c>
      <c r="S110" s="12">
        <v>1</v>
      </c>
      <c r="T110">
        <f t="shared" si="4"/>
        <v>0</v>
      </c>
      <c r="W110">
        <f t="shared" si="5"/>
        <v>0</v>
      </c>
    </row>
    <row r="111" spans="3:23">
      <c r="C111" s="11" t="s">
        <v>317</v>
      </c>
      <c r="D111" s="12">
        <v>2</v>
      </c>
      <c r="J111" s="11" t="s">
        <v>82</v>
      </c>
      <c r="K111" s="12">
        <v>974.04</v>
      </c>
      <c r="L111" s="12">
        <v>3</v>
      </c>
      <c r="P111" s="11" t="s">
        <v>9</v>
      </c>
      <c r="Q111" s="2">
        <v>45360</v>
      </c>
      <c r="R111" s="2">
        <v>45312</v>
      </c>
      <c r="S111" s="12">
        <v>4</v>
      </c>
      <c r="T111">
        <f t="shared" si="4"/>
        <v>48</v>
      </c>
      <c r="W111">
        <f t="shared" si="5"/>
        <v>0.125</v>
      </c>
    </row>
    <row r="112" spans="3:23">
      <c r="C112" s="11" t="s">
        <v>232</v>
      </c>
      <c r="D112" s="12">
        <v>3</v>
      </c>
      <c r="J112" s="11" t="s">
        <v>130</v>
      </c>
      <c r="K112" s="12">
        <v>959.48</v>
      </c>
      <c r="L112" s="12">
        <v>3</v>
      </c>
      <c r="P112" s="11" t="s">
        <v>362</v>
      </c>
      <c r="Q112" s="2">
        <v>45458</v>
      </c>
      <c r="R112" s="2">
        <v>45458</v>
      </c>
      <c r="S112" s="12">
        <v>1</v>
      </c>
      <c r="T112">
        <f t="shared" si="4"/>
        <v>0</v>
      </c>
      <c r="W112">
        <f t="shared" si="5"/>
        <v>0</v>
      </c>
    </row>
    <row r="113" spans="3:23">
      <c r="C113" s="11" t="s">
        <v>830</v>
      </c>
      <c r="D113" s="12">
        <v>344</v>
      </c>
      <c r="J113" s="11" t="s">
        <v>142</v>
      </c>
      <c r="K113" s="12">
        <v>920.54</v>
      </c>
      <c r="L113" s="12">
        <v>2</v>
      </c>
      <c r="P113" s="11" t="s">
        <v>158</v>
      </c>
      <c r="Q113" s="2">
        <v>45446</v>
      </c>
      <c r="R113" s="2">
        <v>45382</v>
      </c>
      <c r="S113" s="12">
        <v>4</v>
      </c>
      <c r="T113">
        <f t="shared" si="4"/>
        <v>64</v>
      </c>
      <c r="W113">
        <f t="shared" si="5"/>
        <v>9.375E-2</v>
      </c>
    </row>
    <row r="114" spans="3:23">
      <c r="J114" s="11" t="s">
        <v>366</v>
      </c>
      <c r="K114" s="12">
        <v>908.52</v>
      </c>
      <c r="L114" s="12">
        <v>1</v>
      </c>
      <c r="P114" s="11" t="s">
        <v>50</v>
      </c>
      <c r="Q114" s="2">
        <v>45405</v>
      </c>
      <c r="R114" s="2">
        <v>45322</v>
      </c>
      <c r="S114" s="12">
        <v>4</v>
      </c>
      <c r="T114">
        <f t="shared" si="4"/>
        <v>83</v>
      </c>
      <c r="W114">
        <f t="shared" si="5"/>
        <v>7.2289156626506021E-2</v>
      </c>
    </row>
    <row r="115" spans="3:23">
      <c r="J115" s="11" t="s">
        <v>383</v>
      </c>
      <c r="K115" s="12">
        <v>886.2</v>
      </c>
      <c r="L115" s="12">
        <v>2</v>
      </c>
      <c r="P115" s="11" t="s">
        <v>100</v>
      </c>
      <c r="Q115" s="2">
        <v>45455</v>
      </c>
      <c r="R115" s="2">
        <v>45435</v>
      </c>
      <c r="S115" s="12">
        <v>2</v>
      </c>
      <c r="T115">
        <f t="shared" si="4"/>
        <v>20</v>
      </c>
      <c r="W115">
        <f t="shared" si="5"/>
        <v>0.3</v>
      </c>
    </row>
    <row r="116" spans="3:23">
      <c r="J116" s="11" t="s">
        <v>254</v>
      </c>
      <c r="K116" s="12">
        <v>870.2</v>
      </c>
      <c r="L116" s="12">
        <v>1</v>
      </c>
      <c r="P116" s="11" t="s">
        <v>82</v>
      </c>
      <c r="Q116" s="2">
        <v>45467</v>
      </c>
      <c r="R116" s="2">
        <v>45371</v>
      </c>
      <c r="S116" s="12">
        <v>3</v>
      </c>
      <c r="T116">
        <f t="shared" si="4"/>
        <v>96</v>
      </c>
      <c r="W116">
        <f t="shared" si="5"/>
        <v>6.25E-2</v>
      </c>
    </row>
    <row r="117" spans="3:23">
      <c r="J117" s="11" t="s">
        <v>311</v>
      </c>
      <c r="K117" s="12">
        <v>868.19999999999993</v>
      </c>
      <c r="L117" s="12">
        <v>3</v>
      </c>
      <c r="P117" s="11" t="s">
        <v>56</v>
      </c>
      <c r="Q117" s="2">
        <v>45467</v>
      </c>
      <c r="R117" s="2">
        <v>45361</v>
      </c>
      <c r="S117" s="12">
        <v>7</v>
      </c>
      <c r="T117">
        <f t="shared" si="4"/>
        <v>106</v>
      </c>
      <c r="W117">
        <f t="shared" si="5"/>
        <v>5.6603773584905662E-2</v>
      </c>
    </row>
    <row r="118" spans="3:23">
      <c r="J118" s="11" t="s">
        <v>194</v>
      </c>
      <c r="K118" s="12">
        <v>836.11</v>
      </c>
      <c r="L118" s="12">
        <v>2</v>
      </c>
      <c r="P118" s="11" t="s">
        <v>130</v>
      </c>
      <c r="Q118" s="2">
        <v>45414</v>
      </c>
      <c r="R118" s="2">
        <v>45303</v>
      </c>
      <c r="S118" s="12">
        <v>3</v>
      </c>
      <c r="T118">
        <f t="shared" si="4"/>
        <v>111</v>
      </c>
      <c r="W118">
        <f t="shared" si="5"/>
        <v>5.4054054054054057E-2</v>
      </c>
    </row>
    <row r="119" spans="3:23">
      <c r="J119" s="11" t="s">
        <v>21</v>
      </c>
      <c r="K119" s="12">
        <v>815.49</v>
      </c>
      <c r="L119" s="12">
        <v>3</v>
      </c>
      <c r="P119" s="11" t="s">
        <v>127</v>
      </c>
      <c r="Q119" s="2">
        <v>45454</v>
      </c>
      <c r="R119" s="2">
        <v>45321</v>
      </c>
      <c r="S119" s="12">
        <v>4</v>
      </c>
      <c r="T119">
        <f t="shared" si="4"/>
        <v>133</v>
      </c>
      <c r="W119">
        <f t="shared" si="5"/>
        <v>4.5112781954887216E-2</v>
      </c>
    </row>
    <row r="120" spans="3:23">
      <c r="J120" s="11" t="s">
        <v>100</v>
      </c>
      <c r="K120" s="12">
        <v>778.5</v>
      </c>
      <c r="L120" s="12">
        <v>2</v>
      </c>
      <c r="P120" s="11" t="s">
        <v>106</v>
      </c>
      <c r="Q120" s="2">
        <v>45431</v>
      </c>
      <c r="R120" s="2">
        <v>45371</v>
      </c>
      <c r="S120" s="12">
        <v>2</v>
      </c>
      <c r="T120">
        <f t="shared" si="4"/>
        <v>60</v>
      </c>
      <c r="W120">
        <f t="shared" si="5"/>
        <v>0.1</v>
      </c>
    </row>
    <row r="121" spans="3:23">
      <c r="J121" s="11" t="s">
        <v>119</v>
      </c>
      <c r="K121" s="12">
        <v>703.56000000000006</v>
      </c>
      <c r="L121" s="12">
        <v>2</v>
      </c>
      <c r="P121" s="11" t="s">
        <v>184</v>
      </c>
      <c r="Q121" s="2">
        <v>45386</v>
      </c>
      <c r="R121" s="2">
        <v>45326</v>
      </c>
      <c r="S121" s="12">
        <v>4</v>
      </c>
      <c r="T121">
        <f t="shared" si="4"/>
        <v>60</v>
      </c>
      <c r="W121">
        <f t="shared" si="5"/>
        <v>0.1</v>
      </c>
    </row>
    <row r="122" spans="3:23">
      <c r="J122" s="11" t="s">
        <v>24</v>
      </c>
      <c r="K122" s="12">
        <v>663.29000000000008</v>
      </c>
      <c r="L122" s="12">
        <v>3</v>
      </c>
      <c r="P122" s="11" t="s">
        <v>181</v>
      </c>
      <c r="Q122" s="2">
        <v>45461</v>
      </c>
      <c r="R122" s="2">
        <v>45299</v>
      </c>
      <c r="S122" s="12">
        <v>5</v>
      </c>
      <c r="T122">
        <f t="shared" si="4"/>
        <v>162</v>
      </c>
      <c r="W122">
        <f t="shared" si="5"/>
        <v>3.7037037037037035E-2</v>
      </c>
    </row>
    <row r="123" spans="3:23">
      <c r="J123" s="11" t="s">
        <v>77</v>
      </c>
      <c r="K123" s="12">
        <v>642.79999999999995</v>
      </c>
      <c r="L123" s="12">
        <v>2</v>
      </c>
      <c r="P123" s="11" t="s">
        <v>84</v>
      </c>
      <c r="Q123" s="2">
        <v>45421</v>
      </c>
      <c r="R123" s="2">
        <v>45343</v>
      </c>
      <c r="S123" s="12">
        <v>3</v>
      </c>
      <c r="T123">
        <f t="shared" si="4"/>
        <v>78</v>
      </c>
      <c r="W123">
        <f t="shared" si="5"/>
        <v>7.6923076923076927E-2</v>
      </c>
    </row>
    <row r="124" spans="3:23">
      <c r="J124" s="11" t="s">
        <v>217</v>
      </c>
      <c r="K124" s="12">
        <v>530.32999999999993</v>
      </c>
      <c r="L124" s="12">
        <v>2</v>
      </c>
      <c r="P124" s="11" t="s">
        <v>450</v>
      </c>
      <c r="Q124" s="2">
        <v>45345</v>
      </c>
      <c r="R124" s="2">
        <v>45345</v>
      </c>
      <c r="S124" s="12">
        <v>1</v>
      </c>
      <c r="T124">
        <f t="shared" si="4"/>
        <v>0</v>
      </c>
      <c r="W124">
        <f t="shared" si="5"/>
        <v>0</v>
      </c>
    </row>
    <row r="125" spans="3:23">
      <c r="J125" s="11" t="s">
        <v>466</v>
      </c>
      <c r="K125" s="12">
        <v>463.92</v>
      </c>
      <c r="L125" s="12">
        <v>1</v>
      </c>
      <c r="P125" s="11" t="s">
        <v>12</v>
      </c>
      <c r="Q125" s="2">
        <v>45460</v>
      </c>
      <c r="R125" s="2">
        <v>45337</v>
      </c>
      <c r="S125" s="12">
        <v>6</v>
      </c>
      <c r="T125">
        <f t="shared" si="4"/>
        <v>123</v>
      </c>
      <c r="W125">
        <f t="shared" si="5"/>
        <v>4.878048780487805E-2</v>
      </c>
    </row>
    <row r="126" spans="3:23">
      <c r="J126" s="11" t="s">
        <v>450</v>
      </c>
      <c r="K126" s="12">
        <v>452.2</v>
      </c>
      <c r="L126" s="12">
        <v>1</v>
      </c>
      <c r="P126" s="11" t="s">
        <v>90</v>
      </c>
      <c r="Q126" s="2">
        <v>45362</v>
      </c>
      <c r="R126" s="2">
        <v>45362</v>
      </c>
      <c r="S126" s="12">
        <v>1</v>
      </c>
      <c r="T126">
        <f t="shared" si="4"/>
        <v>0</v>
      </c>
      <c r="W126">
        <f t="shared" si="5"/>
        <v>0</v>
      </c>
    </row>
    <row r="127" spans="3:23">
      <c r="J127" s="11" t="s">
        <v>314</v>
      </c>
      <c r="K127" s="12">
        <v>435.86</v>
      </c>
      <c r="L127" s="12">
        <v>2</v>
      </c>
      <c r="P127" s="11" t="s">
        <v>314</v>
      </c>
      <c r="Q127" s="2">
        <v>45358</v>
      </c>
      <c r="R127" s="2">
        <v>45339</v>
      </c>
      <c r="S127" s="12">
        <v>2</v>
      </c>
      <c r="T127">
        <f t="shared" si="4"/>
        <v>19</v>
      </c>
      <c r="W127">
        <f t="shared" si="5"/>
        <v>0.31578947368421051</v>
      </c>
    </row>
    <row r="128" spans="3:23">
      <c r="J128" s="11" t="s">
        <v>357</v>
      </c>
      <c r="K128" s="12">
        <v>433.28</v>
      </c>
      <c r="L128" s="12">
        <v>1</v>
      </c>
      <c r="P128" s="11" t="s">
        <v>187</v>
      </c>
      <c r="Q128" s="2">
        <v>45465</v>
      </c>
      <c r="R128" s="2">
        <v>45349</v>
      </c>
      <c r="S128" s="12">
        <v>4</v>
      </c>
      <c r="T128">
        <f t="shared" si="4"/>
        <v>116</v>
      </c>
      <c r="W128">
        <f t="shared" si="5"/>
        <v>5.1724137931034482E-2</v>
      </c>
    </row>
    <row r="129" spans="10:23">
      <c r="J129" s="11" t="s">
        <v>279</v>
      </c>
      <c r="K129" s="12">
        <v>419.85</v>
      </c>
      <c r="L129" s="12">
        <v>1</v>
      </c>
      <c r="P129" s="11" t="s">
        <v>395</v>
      </c>
      <c r="Q129" s="2">
        <v>45469</v>
      </c>
      <c r="R129" s="2">
        <v>45334</v>
      </c>
      <c r="S129" s="12">
        <v>3</v>
      </c>
      <c r="T129">
        <f t="shared" si="4"/>
        <v>135</v>
      </c>
      <c r="W129">
        <f t="shared" si="5"/>
        <v>4.4444444444444446E-2</v>
      </c>
    </row>
    <row r="130" spans="10:23">
      <c r="J130" s="11" t="s">
        <v>42</v>
      </c>
      <c r="K130" s="12">
        <v>412.72999999999996</v>
      </c>
      <c r="L130" s="12">
        <v>2</v>
      </c>
      <c r="P130" s="11" t="s">
        <v>119</v>
      </c>
      <c r="Q130" s="2">
        <v>45466</v>
      </c>
      <c r="R130" s="2">
        <v>45413</v>
      </c>
      <c r="S130" s="12">
        <v>2</v>
      </c>
      <c r="T130">
        <f t="shared" si="4"/>
        <v>53</v>
      </c>
      <c r="W130">
        <f t="shared" si="5"/>
        <v>0.11320754716981132</v>
      </c>
    </row>
    <row r="131" spans="10:23">
      <c r="J131" s="11" t="s">
        <v>333</v>
      </c>
      <c r="K131" s="12">
        <v>393.59</v>
      </c>
      <c r="L131" s="12">
        <v>2</v>
      </c>
      <c r="P131" s="11" t="s">
        <v>15</v>
      </c>
      <c r="Q131" s="2">
        <v>45453</v>
      </c>
      <c r="R131" s="2">
        <v>45300</v>
      </c>
      <c r="S131" s="12">
        <v>5</v>
      </c>
      <c r="T131">
        <f t="shared" si="4"/>
        <v>153</v>
      </c>
      <c r="W131">
        <f t="shared" si="5"/>
        <v>3.9215686274509803E-2</v>
      </c>
    </row>
    <row r="132" spans="10:23">
      <c r="J132" s="11" t="s">
        <v>421</v>
      </c>
      <c r="K132" s="12">
        <v>391.4</v>
      </c>
      <c r="L132" s="12">
        <v>1</v>
      </c>
      <c r="P132" s="11" t="s">
        <v>79</v>
      </c>
      <c r="Q132" s="2">
        <v>45379</v>
      </c>
      <c r="R132" s="2">
        <v>45320</v>
      </c>
      <c r="S132" s="12">
        <v>2</v>
      </c>
      <c r="T132">
        <f t="shared" si="4"/>
        <v>59</v>
      </c>
      <c r="W132">
        <f t="shared" si="5"/>
        <v>0.10169491525423729</v>
      </c>
    </row>
    <row r="133" spans="10:23">
      <c r="J133" s="11" t="s">
        <v>376</v>
      </c>
      <c r="K133" s="12">
        <v>380.52</v>
      </c>
      <c r="L133" s="12">
        <v>2</v>
      </c>
      <c r="P133" s="11" t="s">
        <v>94</v>
      </c>
      <c r="Q133" s="2">
        <v>45398</v>
      </c>
      <c r="R133" s="2">
        <v>45325</v>
      </c>
      <c r="S133" s="12">
        <v>3</v>
      </c>
      <c r="T133">
        <f t="shared" si="4"/>
        <v>73</v>
      </c>
      <c r="W133">
        <f t="shared" si="5"/>
        <v>8.2191780821917804E-2</v>
      </c>
    </row>
    <row r="134" spans="10:23">
      <c r="J134" s="11" t="s">
        <v>288</v>
      </c>
      <c r="K134" s="12">
        <v>347.78999999999996</v>
      </c>
      <c r="L134" s="12">
        <v>2</v>
      </c>
      <c r="P134" s="11" t="s">
        <v>104</v>
      </c>
      <c r="Q134" s="2">
        <v>45468</v>
      </c>
      <c r="R134" s="2">
        <v>45343</v>
      </c>
      <c r="S134" s="12">
        <v>5</v>
      </c>
      <c r="T134">
        <f t="shared" si="4"/>
        <v>125</v>
      </c>
      <c r="W134">
        <f t="shared" si="5"/>
        <v>4.8000000000000001E-2</v>
      </c>
    </row>
    <row r="135" spans="10:23">
      <c r="J135" s="11" t="s">
        <v>106</v>
      </c>
      <c r="K135" s="12">
        <v>294.2</v>
      </c>
      <c r="L135" s="12">
        <v>2</v>
      </c>
      <c r="P135" s="11" t="s">
        <v>140</v>
      </c>
      <c r="Q135" s="2">
        <v>45471</v>
      </c>
      <c r="R135" s="2">
        <v>45363</v>
      </c>
      <c r="S135" s="12">
        <v>3</v>
      </c>
      <c r="T135">
        <f t="shared" si="4"/>
        <v>108</v>
      </c>
      <c r="W135">
        <f t="shared" si="5"/>
        <v>5.5555555555555552E-2</v>
      </c>
    </row>
    <row r="136" spans="10:23">
      <c r="J136" s="11" t="s">
        <v>298</v>
      </c>
      <c r="K136" s="12">
        <v>272.77999999999997</v>
      </c>
      <c r="L136" s="12">
        <v>1</v>
      </c>
      <c r="P136" s="11" t="s">
        <v>61</v>
      </c>
      <c r="Q136" s="2">
        <v>45471</v>
      </c>
      <c r="R136" s="2">
        <v>45333</v>
      </c>
      <c r="S136" s="12">
        <v>6</v>
      </c>
      <c r="T136">
        <f t="shared" si="4"/>
        <v>138</v>
      </c>
      <c r="W136">
        <f t="shared" si="5"/>
        <v>4.3478260869565216E-2</v>
      </c>
    </row>
    <row r="137" spans="10:23">
      <c r="J137" s="11" t="s">
        <v>237</v>
      </c>
      <c r="K137" s="12">
        <v>253.68</v>
      </c>
      <c r="L137" s="12">
        <v>2</v>
      </c>
      <c r="P137" s="11" t="s">
        <v>301</v>
      </c>
      <c r="Q137" s="2">
        <v>45434</v>
      </c>
      <c r="R137" s="2">
        <v>45295</v>
      </c>
      <c r="S137" s="12">
        <v>3</v>
      </c>
      <c r="T137">
        <f t="shared" si="4"/>
        <v>139</v>
      </c>
      <c r="W137">
        <f t="shared" si="5"/>
        <v>4.3165467625899283E-2</v>
      </c>
    </row>
    <row r="138" spans="10:23">
      <c r="J138" s="11" t="s">
        <v>409</v>
      </c>
      <c r="K138" s="12">
        <v>233.34</v>
      </c>
      <c r="L138" s="12">
        <v>1</v>
      </c>
      <c r="P138" s="11" t="s">
        <v>66</v>
      </c>
      <c r="Q138" s="2">
        <v>45457</v>
      </c>
      <c r="R138" s="2">
        <v>45322</v>
      </c>
      <c r="S138" s="12">
        <v>3</v>
      </c>
      <c r="T138">
        <f t="shared" si="4"/>
        <v>135</v>
      </c>
      <c r="W138">
        <f t="shared" si="5"/>
        <v>4.4444444444444446E-2</v>
      </c>
    </row>
    <row r="139" spans="10:23">
      <c r="J139" s="11" t="s">
        <v>69</v>
      </c>
      <c r="K139" s="12">
        <v>189.64000000000001</v>
      </c>
      <c r="L139" s="12">
        <v>2</v>
      </c>
      <c r="P139" s="11" t="s">
        <v>237</v>
      </c>
      <c r="Q139" s="2">
        <v>45459</v>
      </c>
      <c r="R139" s="2">
        <v>45391</v>
      </c>
      <c r="S139" s="12">
        <v>2</v>
      </c>
      <c r="T139">
        <f t="shared" si="4"/>
        <v>68</v>
      </c>
      <c r="W139">
        <f t="shared" si="5"/>
        <v>8.8235294117647065E-2</v>
      </c>
    </row>
    <row r="140" spans="10:23">
      <c r="J140" s="11" t="s">
        <v>387</v>
      </c>
      <c r="K140" s="12">
        <v>152.04</v>
      </c>
      <c r="L140" s="12">
        <v>1</v>
      </c>
      <c r="P140" s="11" t="s">
        <v>221</v>
      </c>
      <c r="Q140" s="2">
        <v>45469</v>
      </c>
      <c r="R140" s="2">
        <v>45311</v>
      </c>
      <c r="S140" s="12">
        <v>3</v>
      </c>
      <c r="T140">
        <f t="shared" si="4"/>
        <v>158</v>
      </c>
      <c r="W140">
        <f t="shared" si="5"/>
        <v>3.7974683544303799E-2</v>
      </c>
    </row>
    <row r="141" spans="10:23">
      <c r="J141" s="11" t="s">
        <v>282</v>
      </c>
      <c r="K141" s="12">
        <v>130.65</v>
      </c>
      <c r="L141" s="12">
        <v>1</v>
      </c>
      <c r="P141" s="11" t="s">
        <v>179</v>
      </c>
      <c r="Q141" s="2">
        <v>45462</v>
      </c>
      <c r="R141" s="2">
        <v>45298</v>
      </c>
      <c r="S141" s="12">
        <v>3</v>
      </c>
      <c r="T141">
        <f t="shared" si="4"/>
        <v>164</v>
      </c>
      <c r="W141">
        <f t="shared" si="5"/>
        <v>3.6585365853658534E-2</v>
      </c>
    </row>
    <row r="142" spans="10:23">
      <c r="J142" s="11" t="s">
        <v>830</v>
      </c>
      <c r="K142" s="12">
        <v>249314.65</v>
      </c>
      <c r="L142" s="12">
        <v>360</v>
      </c>
      <c r="P142" s="11" t="s">
        <v>435</v>
      </c>
      <c r="Q142" s="2">
        <v>45436</v>
      </c>
      <c r="R142" s="2">
        <v>45404</v>
      </c>
      <c r="S142" s="12">
        <v>2</v>
      </c>
      <c r="T142">
        <f t="shared" si="4"/>
        <v>32</v>
      </c>
      <c r="W142">
        <f t="shared" si="5"/>
        <v>0.1875</v>
      </c>
    </row>
    <row r="143" spans="10:23">
      <c r="P143" s="11" t="s">
        <v>387</v>
      </c>
      <c r="Q143" s="2">
        <v>45434</v>
      </c>
      <c r="R143" s="2">
        <v>45434</v>
      </c>
      <c r="S143" s="12">
        <v>1</v>
      </c>
      <c r="T143">
        <f t="shared" si="4"/>
        <v>0</v>
      </c>
      <c r="W143">
        <f t="shared" si="5"/>
        <v>0</v>
      </c>
    </row>
    <row r="144" spans="10:23">
      <c r="P144" s="11" t="s">
        <v>36</v>
      </c>
      <c r="Q144" s="2">
        <v>45468</v>
      </c>
      <c r="R144" s="2">
        <v>45394</v>
      </c>
      <c r="S144" s="12">
        <v>7</v>
      </c>
      <c r="T144">
        <f t="shared" si="4"/>
        <v>74</v>
      </c>
      <c r="W144">
        <f t="shared" si="5"/>
        <v>8.1081081081081086E-2</v>
      </c>
    </row>
    <row r="145" spans="16:23">
      <c r="P145" s="11" t="s">
        <v>171</v>
      </c>
      <c r="Q145" s="2">
        <v>45451</v>
      </c>
      <c r="R145" s="2">
        <v>45447</v>
      </c>
      <c r="S145" s="12">
        <v>3</v>
      </c>
      <c r="T145">
        <f t="shared" si="4"/>
        <v>4</v>
      </c>
      <c r="W145">
        <f t="shared" si="5"/>
        <v>1.5</v>
      </c>
    </row>
    <row r="146" spans="16:23">
      <c r="P146" s="11" t="s">
        <v>296</v>
      </c>
      <c r="Q146" s="2">
        <v>45416</v>
      </c>
      <c r="R146" s="2">
        <v>45365</v>
      </c>
      <c r="S146" s="12">
        <v>2</v>
      </c>
      <c r="T146">
        <f t="shared" si="4"/>
        <v>51</v>
      </c>
      <c r="W146">
        <f t="shared" si="5"/>
        <v>0.11764705882352941</v>
      </c>
    </row>
    <row r="147" spans="16:23">
      <c r="P147" s="11" t="s">
        <v>166</v>
      </c>
      <c r="Q147" s="2">
        <v>45378</v>
      </c>
      <c r="R147" s="2">
        <v>45319</v>
      </c>
      <c r="S147" s="12">
        <v>3</v>
      </c>
      <c r="T147">
        <f t="shared" si="4"/>
        <v>59</v>
      </c>
      <c r="W147">
        <f t="shared" si="5"/>
        <v>0.10169491525423729</v>
      </c>
    </row>
    <row r="148" spans="16:23">
      <c r="P148" s="11" t="s">
        <v>246</v>
      </c>
      <c r="Q148" s="2">
        <v>45444</v>
      </c>
      <c r="R148" s="2">
        <v>45310</v>
      </c>
      <c r="S148" s="12">
        <v>3</v>
      </c>
      <c r="T148">
        <f t="shared" si="4"/>
        <v>134</v>
      </c>
      <c r="W148">
        <f t="shared" si="5"/>
        <v>4.4776119402985072E-2</v>
      </c>
    </row>
    <row r="149" spans="16:23">
      <c r="P149" s="11" t="s">
        <v>6</v>
      </c>
      <c r="Q149" s="2">
        <v>45447</v>
      </c>
      <c r="R149" s="2">
        <v>45302</v>
      </c>
      <c r="S149" s="12">
        <v>4</v>
      </c>
      <c r="T149">
        <f t="shared" si="4"/>
        <v>145</v>
      </c>
      <c r="W149">
        <f t="shared" si="5"/>
        <v>4.1379310344827586E-2</v>
      </c>
    </row>
    <row r="150" spans="16:23">
      <c r="P150" s="11" t="s">
        <v>115</v>
      </c>
      <c r="Q150" s="2">
        <v>45354</v>
      </c>
      <c r="R150" s="2">
        <v>45302</v>
      </c>
      <c r="S150" s="12">
        <v>3</v>
      </c>
      <c r="T150">
        <f t="shared" si="4"/>
        <v>52</v>
      </c>
      <c r="W150">
        <f t="shared" si="5"/>
        <v>0.11538461538461539</v>
      </c>
    </row>
    <row r="151" spans="16:23">
      <c r="P151" s="11" t="s">
        <v>390</v>
      </c>
      <c r="Q151" s="2">
        <v>45457</v>
      </c>
      <c r="R151" s="2">
        <v>45398</v>
      </c>
      <c r="S151" s="12">
        <v>2</v>
      </c>
      <c r="T151">
        <f t="shared" si="4"/>
        <v>59</v>
      </c>
      <c r="W151">
        <f t="shared" si="5"/>
        <v>0.10169491525423729</v>
      </c>
    </row>
    <row r="152" spans="16:23">
      <c r="P152" s="11" t="s">
        <v>317</v>
      </c>
      <c r="Q152" s="2">
        <v>45408</v>
      </c>
      <c r="R152" s="2">
        <v>45341</v>
      </c>
      <c r="S152" s="12">
        <v>2</v>
      </c>
      <c r="T152">
        <f t="shared" si="4"/>
        <v>67</v>
      </c>
      <c r="W152">
        <f t="shared" si="5"/>
        <v>8.9552238805970144E-2</v>
      </c>
    </row>
    <row r="153" spans="16:23">
      <c r="P153" s="11" t="s">
        <v>232</v>
      </c>
      <c r="Q153" s="2">
        <v>45406</v>
      </c>
      <c r="R153" s="2">
        <v>45341</v>
      </c>
      <c r="S153" s="12">
        <v>3</v>
      </c>
      <c r="T153">
        <f t="shared" si="4"/>
        <v>65</v>
      </c>
      <c r="W153">
        <f t="shared" si="5"/>
        <v>9.2307692307692313E-2</v>
      </c>
    </row>
    <row r="154" spans="16:23">
      <c r="P154" s="11" t="s">
        <v>298</v>
      </c>
      <c r="Q154" s="2">
        <v>45391</v>
      </c>
      <c r="R154" s="2">
        <v>45391</v>
      </c>
      <c r="S154" s="12">
        <v>1</v>
      </c>
      <c r="T154">
        <f t="shared" si="4"/>
        <v>0</v>
      </c>
      <c r="W154">
        <f t="shared" si="5"/>
        <v>0</v>
      </c>
    </row>
    <row r="155" spans="16:23">
      <c r="P155" s="11" t="s">
        <v>830</v>
      </c>
      <c r="Q155" s="2">
        <v>45472</v>
      </c>
      <c r="R155" s="2">
        <v>45292</v>
      </c>
      <c r="S155" s="12">
        <v>360</v>
      </c>
    </row>
  </sheetData>
  <conditionalFormatting sqref="G3:G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8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7A48-268E-4456-8D9E-C905F3945282}">
  <dimension ref="H10:L23"/>
  <sheetViews>
    <sheetView showGridLines="0" showRowColHeaders="0" tabSelected="1" zoomScale="85" zoomScaleNormal="85" workbookViewId="0">
      <selection activeCell="X23" sqref="X23"/>
    </sheetView>
  </sheetViews>
  <sheetFormatPr defaultRowHeight="14.25"/>
  <cols>
    <col min="3" max="3" width="6.625" customWidth="1"/>
    <col min="4" max="4" width="14.375" customWidth="1"/>
    <col min="5" max="5" width="5.5" customWidth="1"/>
    <col min="7" max="7" width="13.5" bestFit="1" customWidth="1"/>
    <col min="8" max="8" width="9" bestFit="1" customWidth="1"/>
    <col min="9" max="9" width="20.25" customWidth="1"/>
    <col min="10" max="10" width="1.5" customWidth="1"/>
  </cols>
  <sheetData>
    <row r="10" spans="8:11" ht="15">
      <c r="H10" s="17" t="s">
        <v>871</v>
      </c>
    </row>
    <row r="11" spans="8:11">
      <c r="H11" t="s">
        <v>832</v>
      </c>
    </row>
    <row r="12" spans="8:11">
      <c r="H12" t="s">
        <v>833</v>
      </c>
      <c r="I12" s="16">
        <v>-0.05</v>
      </c>
    </row>
    <row r="13" spans="8:11">
      <c r="H13" t="s">
        <v>834</v>
      </c>
      <c r="I13" s="16">
        <v>0.44</v>
      </c>
      <c r="K13" s="21"/>
    </row>
    <row r="14" spans="8:11">
      <c r="H14" t="s">
        <v>835</v>
      </c>
      <c r="I14" s="16">
        <v>-0.28000000000000003</v>
      </c>
    </row>
    <row r="15" spans="8:11">
      <c r="H15" t="s">
        <v>836</v>
      </c>
      <c r="I15" s="16">
        <v>-0.1</v>
      </c>
    </row>
    <row r="16" spans="8:11">
      <c r="H16" t="s">
        <v>837</v>
      </c>
      <c r="I16" s="16">
        <v>0.54</v>
      </c>
    </row>
    <row r="17" spans="8:12">
      <c r="L17" s="21"/>
    </row>
    <row r="20" spans="8:12">
      <c r="I20" s="18"/>
    </row>
    <row r="23" spans="8:12">
      <c r="H23" s="19"/>
    </row>
  </sheetData>
  <conditionalFormatting sqref="I11:I1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Customer_info</vt:lpstr>
      <vt:lpstr>metrics calculation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Solomon</dc:creator>
  <cp:lastModifiedBy>sylvia</cp:lastModifiedBy>
  <dcterms:created xsi:type="dcterms:W3CDTF">2025-12-31T10:28:12Z</dcterms:created>
  <dcterms:modified xsi:type="dcterms:W3CDTF">2026-02-26T16:06:51Z</dcterms:modified>
</cp:coreProperties>
</file>